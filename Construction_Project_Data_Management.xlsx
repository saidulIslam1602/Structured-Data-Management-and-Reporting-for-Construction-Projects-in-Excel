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Weekly Progres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Action Item Log" sheetId="4" state="visible" r:id="rId4"/>
    <sheet xmlns:r="http://schemas.openxmlformats.org/officeDocument/2006/relationships" name="NCR Quality Tracker" sheetId="5" state="visible" r:id="rId5"/>
    <sheet xmlns:r="http://schemas.openxmlformats.org/officeDocument/2006/relationships" name="Monthly Report" sheetId="6" state="visible" r:id="rId6"/>
    <sheet xmlns:r="http://schemas.openxmlformats.org/officeDocument/2006/relationships" name="Data Validation Log" sheetId="7" state="visible" r:id="rId7"/>
    <sheet xmlns:r="http://schemas.openxmlformats.org/officeDocument/2006/relationships" name="Lookup Tables" sheetId="8" state="visible" r:id="rId8"/>
    <sheet xmlns:r="http://schemas.openxmlformats.org/officeDocument/2006/relationships" name="Instructions &amp; Guide" sheetId="9" state="visible" r:id="rId9"/>
  </sheets>
  <definedNames>
    <definedName name="DisciplineLeadTable">'Lookup Tables'!$A$6:$B$14</definedName>
    <definedName name="DisciplineList">'Lookup Tables'!$A$6:$A$14</definedName>
    <definedName name="_xlnm._FilterDatabase" localSheetId="1" hidden="1">'Weekly Progress'!$A$3:$N$3</definedName>
    <definedName name="_xlnm.Print_Titles" localSheetId="1">'Weekly Progress'!$3:$3</definedName>
    <definedName name="_xlnm._FilterDatabase" localSheetId="2" hidden="1">'Risk Register'!$A$3:$N$3</definedName>
    <definedName name="_xlnm.Print_Titles" localSheetId="2">'Risk Register'!$3:$3</definedName>
    <definedName name="_xlnm._FilterDatabase" localSheetId="3" hidden="1">'Action Item Log'!$A$3:$N$3</definedName>
    <definedName name="_xlnm.Print_Titles" localSheetId="3">'Action Item Log'!$3:$3</definedName>
    <definedName name="_xlnm._FilterDatabase" localSheetId="4" hidden="1">'NCR Quality Tracker'!$A$3:$N$3</definedName>
    <definedName name="_xlnm.Print_Titles" localSheetId="4">'NCR Quality Tracker'!$3:$3</definedName>
    <definedName name="_xlnm._FilterDatabase" localSheetId="5" hidden="1">'Monthly Report'!$A$3:$O$3</definedName>
    <definedName name="_xlnm.Print_Titles" localSheetId="5">'Monthly Report'!$3:$3</definedName>
    <definedName name="_xlnm._FilterDatabase" localSheetId="6" hidden="1">'Data Validation Log'!$A$4:$K$4</definedName>
    <definedName name="_xlnm.Print_Titles" localSheetId="6">'Data Validation Log'!$4:$4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+0%;-0%;0%"/>
    <numFmt numFmtId="165" formatCode="#,##0 &quot;NOK&quot;"/>
    <numFmt numFmtId="166" formatCode="0.000"/>
    <numFmt numFmtId="167" formatCode="yyyy-mm-dd"/>
    <numFmt numFmtId="168" formatCode="DD-MMM-YY"/>
    <numFmt numFmtId="169" formatCode="0.0%"/>
    <numFmt numFmtId="170" formatCode="+0.0%;-0.0%;0.0%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94A3B8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0F172A"/>
      <sz val="10"/>
    </font>
    <font>
      <name val="Calibri"/>
      <b val="1"/>
      <color rgb="007F1D1D"/>
      <sz val="9"/>
    </font>
    <font>
      <name val="Calibri"/>
      <b val="1"/>
      <color rgb="0078350F"/>
      <sz val="9"/>
    </font>
    <font>
      <name val="Calibri"/>
      <b val="1"/>
      <color rgb="0014532D"/>
      <sz val="9"/>
    </font>
    <font>
      <name val="Calibri"/>
      <b val="1"/>
      <color rgb="001E3A8A"/>
      <sz val="9"/>
    </font>
    <font>
      <name val="Calibri"/>
      <b val="1"/>
      <color rgb="00334155"/>
      <sz val="9"/>
    </font>
    <font>
      <name val="Calibri"/>
      <b val="1"/>
      <color rgb="0094A3B8"/>
      <sz val="8"/>
    </font>
    <font>
      <name val="Calibri"/>
      <b val="1"/>
      <color rgb="000F172A"/>
      <sz val="32"/>
    </font>
    <font>
      <name val="Calibri"/>
      <i val="1"/>
      <color rgb="0064748B"/>
      <sz val="7"/>
    </font>
    <font>
      <name val="Calibri"/>
      <b val="1"/>
      <color rgb="00134E4A"/>
      <sz val="9"/>
    </font>
    <font>
      <name val="Calibri"/>
      <i val="1"/>
      <color rgb="0064748B"/>
      <sz val="9"/>
    </font>
    <font>
      <name val="Calibri"/>
      <color rgb="000F172A"/>
      <sz val="9"/>
    </font>
    <font>
      <name val="Calibri"/>
      <b val="1"/>
      <color rgb="000F172A"/>
      <sz val="9"/>
    </font>
    <font>
      <name val="Calibri"/>
      <color rgb="002563EB"/>
      <sz val="10"/>
      <u val="single"/>
    </font>
  </fonts>
  <fills count="1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CCFBF1"/>
      </patternFill>
    </fill>
  </fills>
  <borders count="7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334155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7F1D1D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78350F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34E4A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 indent="2"/>
    </xf>
    <xf numFmtId="0" fontId="3" fillId="3" borderId="0" applyAlignment="1" pivotButton="0" quotePrefix="0" xfId="0">
      <alignment horizontal="left" vertical="center" wrapText="1" indent="2"/>
    </xf>
    <xf numFmtId="0" fontId="11" fillId="3" borderId="1" applyAlignment="1" pivotButton="0" quotePrefix="0" xfId="0">
      <alignment horizontal="center" vertical="center" wrapText="1"/>
    </xf>
    <xf numFmtId="9" fontId="12" fillId="5" borderId="2" applyAlignment="1" pivotButton="0" quotePrefix="0" xfId="0">
      <alignment horizontal="center" vertical="center" wrapText="1"/>
    </xf>
    <xf numFmtId="1" fontId="12" fillId="5" borderId="3" applyAlignment="1" pivotButton="0" quotePrefix="0" xfId="0">
      <alignment horizontal="center" vertical="center" wrapText="1"/>
    </xf>
    <xf numFmtId="1" fontId="12" fillId="5" borderId="4" applyAlignment="1" pivotButton="0" quotePrefix="0" xfId="0">
      <alignment horizontal="center" vertical="center" wrapText="1"/>
    </xf>
    <xf numFmtId="1" fontId="12" fillId="5" borderId="5" applyAlignment="1" pivotButton="0" quotePrefix="0" xfId="0">
      <alignment horizontal="center" vertical="center" wrapText="1"/>
    </xf>
    <xf numFmtId="1" fontId="12" fillId="5" borderId="6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 indent="1"/>
    </xf>
    <xf numFmtId="9" fontId="5" fillId="4" borderId="1" applyAlignment="1" pivotButton="0" quotePrefix="0" xfId="0">
      <alignment horizontal="left" vertical="center" wrapText="1" indent="1"/>
    </xf>
    <xf numFmtId="164" fontId="5" fillId="4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center" wrapText="1" indent="1"/>
    </xf>
    <xf numFmtId="2" fontId="5" fillId="4" borderId="1" applyAlignment="1" pivotButton="0" quotePrefix="0" xfId="0">
      <alignment horizontal="left" vertical="center" wrapText="1" indent="1"/>
    </xf>
    <xf numFmtId="0" fontId="18" fillId="5" borderId="1" applyAlignment="1" pivotButton="0" quotePrefix="0" xfId="0">
      <alignment horizontal="left" vertical="center" wrapText="1" indent="1"/>
    </xf>
    <xf numFmtId="9" fontId="5" fillId="5" borderId="1" applyAlignment="1" pivotButton="0" quotePrefix="0" xfId="0">
      <alignment horizontal="left" vertical="center" wrapText="1" indent="1"/>
    </xf>
    <xf numFmtId="164" fontId="5" fillId="5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2" fontId="5" fillId="5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left" vertical="center" wrapText="1" indent="1"/>
    </xf>
    <xf numFmtId="166" fontId="5" fillId="4" borderId="1" applyAlignment="1" pivotButton="0" quotePrefix="0" xfId="0">
      <alignment horizontal="left" vertical="center" wrapText="1" indent="1"/>
    </xf>
    <xf numFmtId="165" fontId="5" fillId="5" borderId="1" applyAlignment="1" pivotButton="0" quotePrefix="0" xfId="0">
      <alignment horizontal="left" vertical="center" wrapText="1" indent="1"/>
    </xf>
    <xf numFmtId="166" fontId="5" fillId="5" borderId="1" applyAlignment="1" pivotButton="0" quotePrefix="0" xfId="0">
      <alignment horizontal="left" vertical="center" wrapText="1" indent="1"/>
    </xf>
    <xf numFmtId="168" fontId="5" fillId="4" borderId="1" applyAlignment="1" pivotButton="0" quotePrefix="0" xfId="0">
      <alignment horizontal="left" vertical="center" wrapText="1" indent="1"/>
    </xf>
    <xf numFmtId="168" fontId="5" fillId="5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1" fontId="5" fillId="4" borderId="1" applyAlignment="1" pivotButton="0" quotePrefix="0" xfId="0">
      <alignment horizontal="left" vertical="center" wrapText="1" indent="1"/>
    </xf>
    <xf numFmtId="1" fontId="5" fillId="5" borderId="1" applyAlignment="1" pivotButton="0" quotePrefix="0" xfId="0">
      <alignment horizontal="left" vertical="center" wrapText="1" indent="1"/>
    </xf>
    <xf numFmtId="1" fontId="5" fillId="4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169" fontId="5" fillId="4" borderId="1" applyAlignment="1" pivotButton="0" quotePrefix="0" xfId="0">
      <alignment horizontal="left" vertical="center" wrapText="1" indent="1"/>
    </xf>
    <xf numFmtId="170" fontId="5" fillId="4" borderId="1" applyAlignment="1" pivotButton="0" quotePrefix="0" xfId="0">
      <alignment horizontal="left" vertical="center" wrapText="1" indent="1"/>
    </xf>
    <xf numFmtId="169" fontId="5" fillId="5" borderId="1" applyAlignment="1" pivotButton="0" quotePrefix="0" xfId="0">
      <alignment horizontal="left" vertical="center" wrapText="1" indent="1"/>
    </xf>
    <xf numFmtId="170" fontId="5" fillId="5" borderId="1" applyAlignment="1" pivotButton="0" quotePrefix="0" xfId="0">
      <alignment horizontal="left" vertical="center" wrapText="1" indent="1"/>
    </xf>
    <xf numFmtId="0" fontId="15" fillId="4" borderId="0" applyAlignment="1" pivotButton="0" quotePrefix="0" xfId="0">
      <alignment horizontal="left" vertical="center" wrapText="1" indent="2"/>
    </xf>
    <xf numFmtId="0" fontId="0" fillId="8" borderId="1" pivotButton="0" quotePrefix="0" xfId="0"/>
    <xf numFmtId="0" fontId="8" fillId="4" borderId="1" applyAlignment="1" pivotButton="0" quotePrefix="0" xfId="0">
      <alignment horizontal="left" vertical="center" wrapText="1" indent="1"/>
    </xf>
    <xf numFmtId="0" fontId="16" fillId="5" borderId="1" applyAlignment="1" pivotButton="0" quotePrefix="0" xfId="0">
      <alignment horizontal="left" vertical="center" wrapText="1" indent="1"/>
    </xf>
    <xf numFmtId="0" fontId="0" fillId="9" borderId="1" pivotButton="0" quotePrefix="0" xfId="0"/>
    <xf numFmtId="0" fontId="9" fillId="4" borderId="1" applyAlignment="1" pivotButton="0" quotePrefix="0" xfId="0">
      <alignment horizontal="left" vertical="center" wrapText="1" indent="1"/>
    </xf>
    <xf numFmtId="0" fontId="0" fillId="7" borderId="1" pivotButton="0" quotePrefix="0" xfId="0"/>
    <xf numFmtId="0" fontId="7" fillId="4" borderId="1" applyAlignment="1" pivotButton="0" quotePrefix="0" xfId="0">
      <alignment horizontal="left" vertical="center" wrapText="1" indent="1"/>
    </xf>
    <xf numFmtId="0" fontId="0" fillId="6" borderId="1" pivotButton="0" quotePrefix="0" xfId="0"/>
    <xf numFmtId="0" fontId="6" fillId="4" borderId="1" applyAlignment="1" pivotButton="0" quotePrefix="0" xfId="0">
      <alignment horizontal="left" vertical="center" wrapText="1" indent="1"/>
    </xf>
    <xf numFmtId="0" fontId="0" fillId="10" borderId="1" pivotButton="0" quotePrefix="0" xfId="0"/>
    <xf numFmtId="0" fontId="10" fillId="4" borderId="1" applyAlignment="1" pivotButton="0" quotePrefix="0" xfId="0">
      <alignment horizontal="left" vertical="center" wrapText="1" indent="1"/>
    </xf>
    <xf numFmtId="0" fontId="0" fillId="11" borderId="1" pivotButton="0" quotePrefix="0" xfId="0"/>
    <xf numFmtId="0" fontId="14" fillId="4" borderId="1" applyAlignment="1" pivotButton="0" quotePrefix="0" xfId="0">
      <alignment horizontal="left" vertical="center" wrapText="1" indent="1"/>
    </xf>
    <xf numFmtId="0" fontId="0" fillId="4" borderId="1" pivotButton="0" quotePrefix="0" xfId="0"/>
    <xf numFmtId="0" fontId="17" fillId="4" borderId="1" applyAlignment="1" pivotButton="0" quotePrefix="0" xfId="0">
      <alignment horizontal="left" vertical="center" wrapText="1" indent="1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 wrapText="1" indent="1"/>
    </xf>
    <xf numFmtId="0" fontId="0" fillId="2" borderId="1" pivotButton="0" quotePrefix="0" xfId="0"/>
  </cellXfs>
  <cellStyles count="1">
    <cellStyle name="Normal" xfId="0" builtinId="0" hidden="0"/>
  </cellStyles>
  <dxfs count="9">
    <dxf>
      <font>
        <name val="Calibri"/>
        <b val="1"/>
        <color rgb="0014532D"/>
        <sz val="9"/>
      </font>
      <fill>
        <patternFill patternType="solid">
          <fgColor rgb="00DCFCE7"/>
        </patternFill>
      </fill>
    </dxf>
    <dxf>
      <font>
        <name val="Calibri"/>
        <b val="1"/>
        <color rgb="001E3A8A"/>
        <sz val="9"/>
      </font>
      <fill>
        <patternFill patternType="solid">
          <fgColor rgb="00DBEAFE"/>
        </patternFill>
      </fill>
    </dxf>
    <dxf>
      <font>
        <name val="Calibri"/>
        <b val="1"/>
        <color rgb="0078350F"/>
        <sz val="9"/>
      </font>
      <fill>
        <patternFill patternType="solid">
          <fgColor rgb="00FEF3C7"/>
        </patternFill>
      </fill>
    </dxf>
    <dxf>
      <font>
        <name val="Calibri"/>
        <b val="1"/>
        <color rgb="007F1D1D"/>
        <sz val="10"/>
      </font>
      <fill>
        <patternFill patternType="solid">
          <fgColor rgb="00FEE2E2"/>
        </patternFill>
      </fill>
    </dxf>
    <dxf>
      <font>
        <name val="Calibri"/>
        <b val="1"/>
        <color rgb="0014532D"/>
        <sz val="10"/>
      </font>
      <fill>
        <patternFill patternType="solid">
          <fgColor rgb="00DCFCE7"/>
        </patternFill>
      </fill>
    </dxf>
    <dxf>
      <font>
        <name val="Calibri"/>
        <b val="1"/>
        <color rgb="00334155"/>
        <sz val="9"/>
      </font>
      <fill>
        <patternFill patternType="solid">
          <fgColor rgb="00F1F5F9"/>
        </patternFill>
      </fill>
    </dxf>
    <dxf>
      <font>
        <name val="Calibri"/>
        <b val="1"/>
        <color rgb="007F1D1D"/>
        <sz val="9"/>
      </font>
      <fill>
        <patternFill patternType="solid">
          <fgColor rgb="00FEE2E2"/>
        </patternFill>
      </fill>
    </dxf>
    <dxf>
      <font>
        <name val="Calibri"/>
        <b val="1"/>
        <color rgb="00134E4A"/>
        <sz val="9"/>
      </font>
      <fill>
        <patternFill patternType="solid">
          <fgColor rgb="00CCFBF1"/>
        </patternFill>
      </fill>
    </dxf>
    <dxf>
      <font>
        <name val="Calibri"/>
        <b val="1"/>
        <color rgb="0078350F"/>
        <sz val="10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Discipline Progress — Planned vs Actual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solidFill xmlns:a="http://schemas.openxmlformats.org/drawingml/2006/main">
              <a:srgbClr val="94A3B8"/>
            </a:solidFill>
            <a:ln xmlns:a="http://schemas.openxmlformats.org/drawingml/2006/main">
              <a:solidFill>
                <a:srgbClr val="94A3B8"/>
              </a:solidFill>
              <a:prstDash val="solid"/>
            </a:ln>
          </spPr>
          <cat>
            <numRef>
              <f>'DASHBOARD'!$A$11:$A$18</f>
            </numRef>
          </cat>
          <val>
            <numRef>
              <f>'DASHBOARD'!$B$11:$B$18</f>
            </numRef>
          </val>
        </ser>
        <ser>
          <idx val="1"/>
          <order val="1"/>
          <tx>
            <strRef>
              <f>'DASHBOARD'!C10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solidFill>
                <a:srgbClr val="2563EB"/>
              </a:solidFill>
              <a:prstDash val="solid"/>
            </a:ln>
          </spPr>
          <cat>
            <numRef>
              <f>'DASHBOARD'!$A$11:$A$18</f>
            </numRef>
          </cat>
          <val>
            <numRef>
              <f>'DASHBOARD'!$C$11:$C$18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Progress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Schedule Performance Index (SPI)  ·  Target = 1.00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'DASHBOARD'!I10</f>
            </strRef>
          </tx>
          <spPr>
            <a:solidFill xmlns:a="http://schemas.openxmlformats.org/drawingml/2006/main">
              <a:srgbClr val="1E293B"/>
            </a:solidFill>
            <a:ln xmlns:a="http://schemas.openxmlformats.org/drawingml/2006/main">
              <a:solidFill>
                <a:srgbClr val="1E293B"/>
              </a:solidFill>
              <a:prstDash val="solid"/>
            </a:ln>
          </spPr>
          <cat>
            <numRef>
              <f>'DASHBOARD'!$A$11:$A$18</f>
            </numRef>
          </cat>
          <val>
            <numRef>
              <f>'DASHBOARD'!$I$11:$I$18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SPI  (Actual ÷ Planned)</a:t>
                </a:r>
              </a:p>
            </rich>
          </tx>
        </title>
        <numFmt formatCode="0.0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Activity Progress — Planned vs Actual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'Weekly Progress'!G3</f>
            </strRef>
          </tx>
          <spPr>
            <a:solidFill xmlns:a="http://schemas.openxmlformats.org/drawingml/2006/main">
              <a:srgbClr val="94A3B8"/>
            </a:solidFill>
            <a:ln xmlns:a="http://schemas.openxmlformats.org/drawingml/2006/main">
              <a:solidFill>
                <a:srgbClr val="94A3B8"/>
              </a:solidFill>
              <a:prstDash val="solid"/>
            </a:ln>
          </spPr>
          <cat>
            <numRef>
              <f>'Weekly Progress'!$C$4:$C$21</f>
            </numRef>
          </cat>
          <val>
            <numRef>
              <f>'Weekly Progress'!$G$4:$G$21</f>
            </numRef>
          </val>
        </ser>
        <ser>
          <idx val="1"/>
          <order val="1"/>
          <tx>
            <strRef>
              <f>'Weekly Progress'!H3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solidFill>
                <a:srgbClr val="2563EB"/>
              </a:solidFill>
              <a:prstDash val="solid"/>
            </a:ln>
          </spPr>
          <cat>
            <numRef>
              <f>'Weekly Progress'!$C$4:$C$21</f>
            </numRef>
          </cat>
          <val>
            <numRef>
              <f>'Weekly Progress'!$H$4:$H$21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Progress %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Earned Value vs Planned Value by Month (NOK)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'DASHBOARD'!E28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solidFill>
                <a:srgbClr val="2563EB"/>
              </a:solidFill>
              <a:prstDash val="solid"/>
            </a:ln>
          </spPr>
          <cat>
            <numRef>
              <f>'DASHBOARD'!$A$29:$A$31</f>
            </numRef>
          </cat>
          <val>
            <numRef>
              <f>'DASHBOARD'!$E$29:$E$31</f>
            </numRef>
          </val>
        </ser>
        <ser>
          <idx val="1"/>
          <order val="1"/>
          <tx>
            <strRef>
              <f>'DASHBOARD'!F28</f>
            </strRef>
          </tx>
          <spPr>
            <a:solidFill xmlns:a="http://schemas.openxmlformats.org/drawingml/2006/main">
              <a:srgbClr val="94A3B8"/>
            </a:solidFill>
            <a:ln xmlns:a="http://schemas.openxmlformats.org/drawingml/2006/main">
              <a:solidFill>
                <a:srgbClr val="94A3B8"/>
              </a:solidFill>
              <a:prstDash val="solid"/>
            </a:ln>
          </spPr>
          <cat>
            <numRef>
              <f>'DASHBOARD'!$A$29:$A$31</f>
            </numRef>
          </cat>
          <val>
            <numRef>
              <f>'DASHBOARD'!$F$29:$F$31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NOK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Schedule Variance % by Month  ·  Target ≥ 0%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'DASHBOARD'!H28</f>
            </strRef>
          </tx>
          <spPr>
            <a:ln xmlns:a="http://schemas.openxmlformats.org/drawingml/2006/main" w="28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'DASHBOARD'!$A$29:$A$31</f>
            </numRef>
          </cat>
          <val>
            <numRef>
              <f>'DASHBOARD'!$H$29:$H$31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Schedule Variance %</a:t>
                </a:r>
              </a:p>
            </rich>
          </tx>
        </title>
        <numFmt formatCode="+0.0%;-0.0%;0.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Workbook Guide</author>
  </authors>
  <commentList>
    <comment ref="I3" authorId="0" shapeId="0">
      <text>
        <t>Variance %  [FORMULA — do not edit]
────────────────────────────────
= Actual% − Planned%
  Positive (+) = Ahead of schedule
  Negative (−) = Behind schedule
  Colour scale: red → white → green</t>
      </text>
    </comment>
    <comment ref="K3" authorId="0" shapeId="0">
      <text>
        <t>Status  [FORMULA — do not edit]
────────────────────────────────
= IF(H≥1, 'Completed',
    IF(H−G &gt; 3%, 'Ahead',
    IF(G−H &gt; 3%, 'Behind', 'On Track')))
  Muted badge colours applied via conditional formatting</t>
      </text>
    </comment>
    <comment ref="L3" authorId="0" shapeId="0">
      <text>
        <t>Responsible  [XLOOKUP — auto-filled]
────────────────────────────────
= XLOOKUP(Discipline, LookupTables!A:A, LookupTables!B:B)
  Auto-fills lead person from Lookup Tables.
  You can override this cell manually if needed.</t>
      </text>
    </comment>
  </commentList>
</comments>
</file>

<file path=xl/comments/comment2.xml><?xml version="1.0" encoding="utf-8"?>
<comments xmlns="http://schemas.openxmlformats.org/spreadsheetml/2006/main">
  <authors>
    <author>Workbook Guide</author>
  </authors>
  <commentList>
    <comment ref="G3" authorId="0" shapeId="0">
      <text>
        <t>Risk Score  [FORMULA = E × F — do not edit]
────────────────────────────────
= Probability × Impact
  1–7   = Low    (green heat-map)
  8–14  = Medium (amber heat-map)
  15–25 = High   (red heat-map)
  Edit cols E and F; Score recalculates automatically.</t>
      </text>
    </comment>
    <comment ref="H3" authorId="0" shapeId="0">
      <text>
        <t>Risk Level  [FORMULA — do not edit]
────────────────────────────────
= IF(Score≥15, 'High', IF(Score≥8, 'Medium', 'Low'))
  Muted pastel badge applied automatically via conditional formatting.</t>
      </text>
    </comment>
  </commentList>
</comments>
</file>

<file path=xl/comments/comment3.xml><?xml version="1.0" encoding="utf-8"?>
<comments xmlns="http://schemas.openxmlformats.org/spreadsheetml/2006/main">
  <authors>
    <author>Workbook Guide</author>
  </authors>
  <commentList>
    <comment ref="F3" authorId="0" shapeId="0">
      <text>
        <t>Responsible  [VLOOKUP — auto-filled]
────────────────────────────────
= VLOOKUP(Discipline, LookupTables, 2, 0)
  Auto-fills the discipline lead from Lookup Tables.
  Override manually if the action owner is a different person.</t>
      </text>
    </comment>
    <comment ref="N3" authorId="0" shapeId="0">
      <text>
        <t>Days Overdue  [FORMULA — do not edit]
────────────────────────────────
= IF(AND(Status≠'Closed', Status≠'On Hold',
         ISNUMBER(DueDate), TODAY() &gt; DueDate),
   TODAY() − DueDate, '')
  Updates automatically each time the file is opened.
  Red cell fill applied when value &gt; 0.</t>
      </text>
    </comment>
  </commentList>
</comments>
</file>

<file path=xl/comments/comment4.xml><?xml version="1.0" encoding="utf-8"?>
<comments xmlns="http://schemas.openxmlformats.org/spreadsheetml/2006/main">
  <authors>
    <author>Workbook Guide</author>
  </authors>
  <commentList>
    <comment ref="M3" authorId="0" shapeId="0">
      <text>
        <t>Days Open  [FORMULA — do not edit]
────────────────────────────────
= IF(Status = 'Closed', 0, TODAY() − DateRaised)
  Amber badge: &gt; 14 days open
  Red badge:   &gt; 28 days open
  Resets to 0 when Status is set to 'Closed'.</t>
      </text>
    </comment>
    <comment ref="N3" authorId="0" shapeId="0">
      <text>
        <t>Discipline Lead  [INDEX/MATCH — auto-filled]
────────────────────────────────
= INDEX(LookupTables!B, MATCH(Discipline, LookupTables!A, 0))
  Alternative to VLOOKUP — searches in any column.
  Updates automatically if Discipline changes.</t>
      </text>
    </comment>
  </commentList>
</comments>
</file>

<file path=xl/comments/comment5.xml><?xml version="1.0" encoding="utf-8"?>
<comments xmlns="http://schemas.openxmlformats.org/spreadsheetml/2006/main">
  <authors>
    <author>Workbook Guide</author>
  </authors>
  <commentList>
    <comment ref="I3" authorId="0" shapeId="0">
      <text>
        <t>Schedule Variance %  [FORMULA — do not edit]
────────────────────────────────
= IFERROR((Actual% − Planned%) / Planned%, 0)
  Green cell = ahead of schedule (positive)
  Red cell   = behind schedule (negative)
  Referenced by DASHBOARD SUMIFS monthly summary.</t>
      </text>
    </comment>
    <comment ref="J3" authorId="0" shapeId="0">
      <text>
        <t>Cost Variance %  [FORMULA — do not edit]
────────────────────────────────
= IFERROR((EV − PV) / PV, 0)
  Green = EV &gt; PV (under budget)
  Red   = EV &lt; PV (over budget)
  CPI chart on DASHBOARD uses Dashboard SUMIFS of this data.</t>
      </text>
    </comment>
    <comment ref="N3" authorId="0" shapeId="0">
      <text>
        <t>Discipline Lead  [INDEX/MATCH — auto-filled]
────────────────────────────────
= INDEX(LookupTables!B:B, MATCH(Discipline, LookupTables!A:A, 0))
  Updates automatically when Discipline cell changes.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34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34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</row>
      <rowOff>0</rowOff>
    </from>
    <ext cx="864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22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eeklyProgress" displayName="tblWeeklyProgress" ref="A3:N21" headerRowCount="1">
  <autoFilter ref="A3:N21"/>
  <tableColumns count="14">
    <tableColumn id="1" name="ID"/>
    <tableColumn id="2" name="Discipline"/>
    <tableColumn id="3" name="Activity Description"/>
    <tableColumn id="4" name="Location"/>
    <tableColumn id="5" name="Planned_x000a_Start"/>
    <tableColumn id="6" name="Planned_x000a_Finish"/>
    <tableColumn id="7" name="Planned %_x000a_↓ enter"/>
    <tableColumn id="8" name="Actual %_x000a_↓ enter"/>
    <tableColumn id="9" name="Variance %_x000a_=H−G"/>
    <tableColumn id="10" name="Week"/>
    <tableColumn id="11" name="Status_x000a_=IF formula"/>
    <tableColumn id="12" name="Responsible_x000a_=XLOOKUP"/>
    <tableColumn id="13" name="Submitted"/>
    <tableColumn id="14" name="Comments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blRiskRegister" displayName="tblRiskRegister" ref="A3:N18" headerRowCount="1">
  <autoFilter ref="A3:N18"/>
  <tableColumns count="14">
    <tableColumn id="1" name="Risk ID"/>
    <tableColumn id="2" name="Category"/>
    <tableColumn id="3" name="Risk Description"/>
    <tableColumn id="4" name="Discipline"/>
    <tableColumn id="5" name="Prob_x000a_(1–5)"/>
    <tableColumn id="6" name="Impact_x000a_(1–5)"/>
    <tableColumn id="7" name="Risk Score_x000a_=E×F"/>
    <tableColumn id="8" name="Risk Level_x000a_=IF formula"/>
    <tableColumn id="9" name="Mitigation Action"/>
    <tableColumn id="10" name="Risk Owner"/>
    <tableColumn id="11" name="Date Identified"/>
    <tableColumn id="12" name="Review Date"/>
    <tableColumn id="13" name="Status"/>
    <tableColumn id="14" name="Comments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blActionLog" displayName="tblActionLog" ref="A3:N20" headerRowCount="1">
  <autoFilter ref="A3:N20"/>
  <tableColumns count="14">
    <tableColumn id="1" name="Action ID"/>
    <tableColumn id="2" name="Source / Meeting"/>
    <tableColumn id="3" name="Date Raised"/>
    <tableColumn id="4" name="Action Description"/>
    <tableColumn id="5" name="Discipline"/>
    <tableColumn id="6" name="Responsible_x000a_=VLOOKUP"/>
    <tableColumn id="7" name="Due Date"/>
    <tableColumn id="8" name="Priority"/>
    <tableColumn id="9" name="Status"/>
    <tableColumn id="10" name="% Done"/>
    <tableColumn id="11" name="Date Closed"/>
    <tableColumn id="12" name="Verified By"/>
    <tableColumn id="13" name="Comments"/>
    <tableColumn id="14" name="Days Overdue_x000a_=IF/TODAY()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blNCRTracker" displayName="tblNCRTracker" ref="A3:N15" headerRowCount="1">
  <autoFilter ref="A3:N15"/>
  <tableColumns count="14">
    <tableColumn id="1" name="NCR No."/>
    <tableColumn id="2" name="Discipline"/>
    <tableColumn id="3" name="Type"/>
    <tableColumn id="4" name="Non-Conformance Description"/>
    <tableColumn id="5" name="Location"/>
    <tableColumn id="6" name="Raised By"/>
    <tableColumn id="7" name="Date Raised"/>
    <tableColumn id="8" name="Root Cause"/>
    <tableColumn id="9" name="Corrective Action"/>
    <tableColumn id="10" name="Responsible"/>
    <tableColumn id="11" name="Due Date"/>
    <tableColumn id="12" name="Status"/>
    <tableColumn id="13" name="Days Open_x000a_=TODAY()−raised"/>
    <tableColumn id="14" name="Disc. Lead_x000a_=INDEX/MATCH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blMonthlyReport" displayName="tblMonthlyReport" ref="A3:O19" headerRowCount="1">
  <autoFilter ref="A3:O19"/>
  <tableColumns count="15">
    <tableColumn id="1" name="Month"/>
    <tableColumn id="2" name="Discipline"/>
    <tableColumn id="3" name="Budget_x000a_Hours"/>
    <tableColumn id="4" name="Actual_x000a_Hours"/>
    <tableColumn id="5" name="Planned_x000a_%"/>
    <tableColumn id="6" name="Actual_x000a_%"/>
    <tableColumn id="7" name="Earned Value_x000a_(NOK)"/>
    <tableColumn id="8" name="Planned Value_x000a_(NOK)"/>
    <tableColumn id="9" name="Schedule Var %_x000a_=IFERROR((F−E)/E,0)"/>
    <tableColumn id="10" name="Cost Var %_x000a_=IFERROR((G−H)/H,0)"/>
    <tableColumn id="11" name="Key Milestones"/>
    <tableColumn id="12" name="Issues"/>
    <tableColumn id="13" name="Actions_x000a_Raised"/>
    <tableColumn id="14" name="Disc. Lead_x000a_=INDEX/MATCH"/>
    <tableColumn id="15" name="Forecast_x000a_%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blValidationLog" displayName="tblValidationLog" ref="A4:K16" headerRowCount="1">
  <autoFilter ref="A4:K16"/>
  <tableColumns count="11">
    <tableColumn id="1" name="Log ID"/>
    <tableColumn id="2" name="Date Found"/>
    <tableColumn id="3" name="Data Source"/>
    <tableColumn id="4" name="Field / Column"/>
    <tableColumn id="5" name="Error Type"/>
    <tableColumn id="6" name="Error Description"/>
    <tableColumn id="7" name="Responsible"/>
    <tableColumn id="8" name="Severity"/>
    <tableColumn id="9" name="Action Taken"/>
    <tableColumn id="10" name="Status"/>
    <tableColumn id="11" name="Date Resolved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Weekly Progress'!A3" TargetMode="External" Id="rId1"/><Relationship Type="http://schemas.openxmlformats.org/officeDocument/2006/relationships/hyperlink" Target="#'Weekly Progress'!A3" TargetMode="External" Id="rId2"/><Relationship Type="http://schemas.openxmlformats.org/officeDocument/2006/relationships/hyperlink" Target="#'Weekly Progress'!A3" TargetMode="External" Id="rId3"/><Relationship Type="http://schemas.openxmlformats.org/officeDocument/2006/relationships/hyperlink" Target="#'Weekly Progress'!A3" TargetMode="External" Id="rId4"/><Relationship Type="http://schemas.openxmlformats.org/officeDocument/2006/relationships/hyperlink" Target="#'Weekly Progress'!A3" TargetMode="External" Id="rId5"/><Relationship Type="http://schemas.openxmlformats.org/officeDocument/2006/relationships/hyperlink" Target="#'Weekly Progress'!A3" TargetMode="External" Id="rId6"/><Relationship Type="http://schemas.openxmlformats.org/officeDocument/2006/relationships/hyperlink" Target="#'Weekly Progress'!A3" TargetMode="External" Id="rId7"/><Relationship Type="http://schemas.openxmlformats.org/officeDocument/2006/relationships/hyperlink" Target="#'Weekly Progress'!A3" TargetMode="External" Id="rId8"/><Relationship Type="http://schemas.openxmlformats.org/officeDocument/2006/relationships/drawing" Target="/xl/drawings/drawing1.xml" Id="rId9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0F172A"/>
    <outlinePr summaryBelow="1" summaryRight="1"/>
    <pageSetUpPr fitToPage="1"/>
  </sheetPr>
  <dimension ref="A1:O34"/>
  <sheetViews>
    <sheetView showGridLines="0" zoomScale="85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2" customWidth="1" min="7" max="7"/>
    <col width="12" customWidth="1" min="8" max="8"/>
    <col width="13" customWidth="1" min="9" max="9"/>
    <col width="12" customWidth="1" min="10" max="10"/>
    <col width="10" customWidth="1" min="11" max="11"/>
    <col width="2" customWidth="1" min="12" max="12"/>
    <col width="14" customWidth="1" min="13" max="13"/>
    <col width="10" customWidth="1" min="14" max="14"/>
    <col width="10" customWidth="1" min="15" max="15"/>
  </cols>
  <sheetData>
    <row r="1" ht="42" customHeight="1">
      <c r="A1" s="1" t="inlineStr">
        <is>
          <t>CONSTRUCTION PROJECT MANAGEMENT DASHBOARD</t>
        </is>
      </c>
    </row>
    <row r="2" ht="20" customHeight="1">
      <c r="A2" s="2" t="inlineStr">
        <is>
          <t>[Site Name]  ·  [Project Name]  ·  [Client]  ·  Week: 18 / 2026  ·  All KPI values are live Excel formulas</t>
        </is>
      </c>
    </row>
    <row r="3" ht="10" customHeight="1"/>
    <row r="4" ht="22" customHeight="1">
      <c r="A4" s="3" t="inlineStr">
        <is>
          <t>KEY PERFORMANCE INDICATORS</t>
        </is>
      </c>
    </row>
    <row r="5" ht="28" customHeight="1">
      <c r="A5" s="4" t="inlineStr">
        <is>
          <t>OVERALL
PROGRESS</t>
        </is>
      </c>
      <c r="D5" s="4" t="inlineStr">
        <is>
          <t>OPEN
ACTIONS</t>
        </is>
      </c>
      <c r="G5" s="4" t="inlineStr">
        <is>
          <t>OVERDUE
ACTIONS</t>
        </is>
      </c>
      <c r="J5" s="4" t="inlineStr">
        <is>
          <t>OPEN / ESCALATED
RISKS</t>
        </is>
      </c>
      <c r="M5" s="4" t="inlineStr">
        <is>
          <t>OPEN
NCRs</t>
        </is>
      </c>
    </row>
    <row r="6" ht="52" customHeight="1">
      <c r="A6" s="5">
        <f>IFERROR(AVERAGE('Weekly Progress'!$H$3:$H$40),0)</f>
        <v/>
      </c>
      <c r="D6" s="6">
        <f>COUNTIF('Action Item Log'!$I$3:$I$100,"Open")+COUNTIF('Action Item Log'!$I$3:$I$100,"Overdue")</f>
        <v/>
      </c>
      <c r="G6" s="7">
        <f>COUNTIF('Action Item Log'!$I$3:$I$100,"Overdue")</f>
        <v/>
      </c>
      <c r="J6" s="8">
        <f>COUNTIF('Risk Register'!$M$3:$M$100,"Open")+COUNTIF('Risk Register'!$M$3:$M$100,"Escalated")</f>
        <v/>
      </c>
      <c r="M6" s="9">
        <f>COUNTIF('NCR Quality Tracker'!$L$3:$L$100,"Open")+COUNTIF('NCR Quality Tracker'!$L$3:$L$100,"In Progress")</f>
        <v/>
      </c>
    </row>
    <row r="7" ht="16" customHeight="1">
      <c r="A7" s="10" t="inlineStr">
        <is>
          <t>AVERAGE(Actual%)</t>
        </is>
      </c>
      <c r="D7" s="10" t="inlineStr">
        <is>
          <t>COUNTIF: Open + Overdue</t>
        </is>
      </c>
      <c r="G7" s="10" t="inlineStr">
        <is>
          <t>COUNTIF: status=Overdue</t>
        </is>
      </c>
      <c r="J7" s="10" t="inlineStr">
        <is>
          <t>COUNTIF: Open+Escalated</t>
        </is>
      </c>
      <c r="M7" s="10" t="inlineStr">
        <is>
          <t>COUNTIF: Open+In Progress</t>
        </is>
      </c>
    </row>
    <row r="8" ht="12" customHeight="1"/>
    <row r="9" ht="22" customHeight="1">
      <c r="A9" s="3" t="inlineStr">
        <is>
          <t>DISCIPLINE PROGRESS  ·  Live via AVERAGEIF / COUNTIFS from Weekly Progress, Risk Register &amp; Action Log</t>
        </is>
      </c>
    </row>
    <row r="10" ht="28" customHeight="1">
      <c r="A10" s="11" t="inlineStr">
        <is>
          <t>Discipline</t>
        </is>
      </c>
      <c r="B10" s="11" t="inlineStr">
        <is>
          <t>Planned %</t>
        </is>
      </c>
      <c r="C10" s="11" t="inlineStr">
        <is>
          <t>Actual %</t>
        </is>
      </c>
      <c r="D10" s="11" t="inlineStr">
        <is>
          <t>Variance %</t>
        </is>
      </c>
      <c r="E10" s="11" t="inlineStr">
        <is>
          <t>Status</t>
        </is>
      </c>
      <c r="F10" s="11" t="inlineStr">
        <is>
          <t>Open Actions</t>
        </is>
      </c>
      <c r="G10" s="11" t="inlineStr">
        <is>
          <t>Open Risks</t>
        </is>
      </c>
      <c r="H10" s="11" t="inlineStr">
        <is>
          <t>Open NCRs</t>
        </is>
      </c>
      <c r="I10" s="11" t="inlineStr">
        <is>
          <t>SPI  (Actual/Planned)</t>
        </is>
      </c>
    </row>
    <row r="11" ht="20" customHeight="1">
      <c r="A11" s="12" t="inlineStr">
        <is>
          <t>Civil</t>
        </is>
      </c>
      <c r="B11" s="13">
        <f>IFERROR(AVERAGEIF('Weekly Progress'!$B:$B,A11,'Weekly Progress'!$G:$G),0)</f>
        <v/>
      </c>
      <c r="C11" s="13">
        <f>IFERROR(AVERAGEIF('Weekly Progress'!$B:$B,A11,'Weekly Progress'!$H:$H),0)</f>
        <v/>
      </c>
      <c r="D11" s="14">
        <f>C11-B11</f>
        <v/>
      </c>
      <c r="E11" s="15">
        <f>IF(D11&gt;0.03,"Ahead",IF(D11&lt;-0.03,"Behind","On Track"))</f>
        <v/>
      </c>
      <c r="F11" s="15">
        <f>COUNTIFS('Action Item Log'!$E:$E,A11,'Action Item Log'!$I:$I,"Open")+COUNTIFS('Action Item Log'!$E:$E,A11,'Action Item Log'!$I:$I,"Overdue")</f>
        <v/>
      </c>
      <c r="G11" s="15">
        <f>COUNTIFS('Risk Register'!$D:$D,A11,'Risk Register'!$M:$M,"Open")+COUNTIFS('Risk Register'!$D:$D,A11,'Risk Register'!$M:$M,"Escalated")</f>
        <v/>
      </c>
      <c r="H11" s="15">
        <f>COUNTIFS('NCR Quality Tracker'!$B:$B,A11,'NCR Quality Tracker'!$L:$L,"Open")+COUNTIFS('NCR Quality Tracker'!$B:$B,A11,'NCR Quality Tracker'!$L:$L,"In Progress")</f>
        <v/>
      </c>
      <c r="I11" s="16">
        <f>IFERROR(C11/B11,0)</f>
        <v/>
      </c>
    </row>
    <row r="12" ht="20" customHeight="1">
      <c r="A12" s="17" t="inlineStr">
        <is>
          <t>Structural</t>
        </is>
      </c>
      <c r="B12" s="18">
        <f>IFERROR(AVERAGEIF('Weekly Progress'!$B:$B,A12,'Weekly Progress'!$G:$G),0)</f>
        <v/>
      </c>
      <c r="C12" s="18">
        <f>IFERROR(AVERAGEIF('Weekly Progress'!$B:$B,A12,'Weekly Progress'!$H:$H),0)</f>
        <v/>
      </c>
      <c r="D12" s="19">
        <f>C12-B12</f>
        <v/>
      </c>
      <c r="E12" s="20">
        <f>IF(D12&gt;0.03,"Ahead",IF(D12&lt;-0.03,"Behind","On Track"))</f>
        <v/>
      </c>
      <c r="F12" s="20">
        <f>COUNTIFS('Action Item Log'!$E:$E,A12,'Action Item Log'!$I:$I,"Open")+COUNTIFS('Action Item Log'!$E:$E,A12,'Action Item Log'!$I:$I,"Overdue")</f>
        <v/>
      </c>
      <c r="G12" s="20">
        <f>COUNTIFS('Risk Register'!$D:$D,A12,'Risk Register'!$M:$M,"Open")+COUNTIFS('Risk Register'!$D:$D,A12,'Risk Register'!$M:$M,"Escalated")</f>
        <v/>
      </c>
      <c r="H12" s="20">
        <f>COUNTIFS('NCR Quality Tracker'!$B:$B,A12,'NCR Quality Tracker'!$L:$L,"Open")+COUNTIFS('NCR Quality Tracker'!$B:$B,A12,'NCR Quality Tracker'!$L:$L,"In Progress")</f>
        <v/>
      </c>
      <c r="I12" s="21">
        <f>IFERROR(C12/B12,0)</f>
        <v/>
      </c>
    </row>
    <row r="13" ht="20" customHeight="1">
      <c r="A13" s="12" t="inlineStr">
        <is>
          <t>Electrical</t>
        </is>
      </c>
      <c r="B13" s="13">
        <f>IFERROR(AVERAGEIF('Weekly Progress'!$B:$B,A13,'Weekly Progress'!$G:$G),0)</f>
        <v/>
      </c>
      <c r="C13" s="13">
        <f>IFERROR(AVERAGEIF('Weekly Progress'!$B:$B,A13,'Weekly Progress'!$H:$H),0)</f>
        <v/>
      </c>
      <c r="D13" s="14">
        <f>C13-B13</f>
        <v/>
      </c>
      <c r="E13" s="15">
        <f>IF(D13&gt;0.03,"Ahead",IF(D13&lt;-0.03,"Behind","On Track"))</f>
        <v/>
      </c>
      <c r="F13" s="15">
        <f>COUNTIFS('Action Item Log'!$E:$E,A13,'Action Item Log'!$I:$I,"Open")+COUNTIFS('Action Item Log'!$E:$E,A13,'Action Item Log'!$I:$I,"Overdue")</f>
        <v/>
      </c>
      <c r="G13" s="15">
        <f>COUNTIFS('Risk Register'!$D:$D,A13,'Risk Register'!$M:$M,"Open")+COUNTIFS('Risk Register'!$D:$D,A13,'Risk Register'!$M:$M,"Escalated")</f>
        <v/>
      </c>
      <c r="H13" s="15">
        <f>COUNTIFS('NCR Quality Tracker'!$B:$B,A13,'NCR Quality Tracker'!$L:$L,"Open")+COUNTIFS('NCR Quality Tracker'!$B:$B,A13,'NCR Quality Tracker'!$L:$L,"In Progress")</f>
        <v/>
      </c>
      <c r="I13" s="16">
        <f>IFERROR(C13/B13,0)</f>
        <v/>
      </c>
    </row>
    <row r="14" ht="20" customHeight="1">
      <c r="A14" s="17" t="inlineStr">
        <is>
          <t>Mechanical</t>
        </is>
      </c>
      <c r="B14" s="18">
        <f>IFERROR(AVERAGEIF('Weekly Progress'!$B:$B,A14,'Weekly Progress'!$G:$G),0)</f>
        <v/>
      </c>
      <c r="C14" s="18">
        <f>IFERROR(AVERAGEIF('Weekly Progress'!$B:$B,A14,'Weekly Progress'!$H:$H),0)</f>
        <v/>
      </c>
      <c r="D14" s="19">
        <f>C14-B14</f>
        <v/>
      </c>
      <c r="E14" s="20">
        <f>IF(D14&gt;0.03,"Ahead",IF(D14&lt;-0.03,"Behind","On Track"))</f>
        <v/>
      </c>
      <c r="F14" s="20">
        <f>COUNTIFS('Action Item Log'!$E:$E,A14,'Action Item Log'!$I:$I,"Open")+COUNTIFS('Action Item Log'!$E:$E,A14,'Action Item Log'!$I:$I,"Overdue")</f>
        <v/>
      </c>
      <c r="G14" s="20">
        <f>COUNTIFS('Risk Register'!$D:$D,A14,'Risk Register'!$M:$M,"Open")+COUNTIFS('Risk Register'!$D:$D,A14,'Risk Register'!$M:$M,"Escalated")</f>
        <v/>
      </c>
      <c r="H14" s="20">
        <f>COUNTIFS('NCR Quality Tracker'!$B:$B,A14,'NCR Quality Tracker'!$L:$L,"Open")+COUNTIFS('NCR Quality Tracker'!$B:$B,A14,'NCR Quality Tracker'!$L:$L,"In Progress")</f>
        <v/>
      </c>
      <c r="I14" s="21">
        <f>IFERROR(C14/B14,0)</f>
        <v/>
      </c>
    </row>
    <row r="15" ht="20" customHeight="1">
      <c r="A15" s="12" t="inlineStr">
        <is>
          <t>Instrumentation</t>
        </is>
      </c>
      <c r="B15" s="13">
        <f>IFERROR(AVERAGEIF('Weekly Progress'!$B:$B,A15,'Weekly Progress'!$G:$G),0)</f>
        <v/>
      </c>
      <c r="C15" s="13">
        <f>IFERROR(AVERAGEIF('Weekly Progress'!$B:$B,A15,'Weekly Progress'!$H:$H),0)</f>
        <v/>
      </c>
      <c r="D15" s="14">
        <f>C15-B15</f>
        <v/>
      </c>
      <c r="E15" s="15">
        <f>IF(D15&gt;0.03,"Ahead",IF(D15&lt;-0.03,"Behind","On Track"))</f>
        <v/>
      </c>
      <c r="F15" s="15">
        <f>COUNTIFS('Action Item Log'!$E:$E,A15,'Action Item Log'!$I:$I,"Open")+COUNTIFS('Action Item Log'!$E:$E,A15,'Action Item Log'!$I:$I,"Overdue")</f>
        <v/>
      </c>
      <c r="G15" s="15">
        <f>COUNTIFS('Risk Register'!$D:$D,A15,'Risk Register'!$M:$M,"Open")+COUNTIFS('Risk Register'!$D:$D,A15,'Risk Register'!$M:$M,"Escalated")</f>
        <v/>
      </c>
      <c r="H15" s="15">
        <f>COUNTIFS('NCR Quality Tracker'!$B:$B,A15,'NCR Quality Tracker'!$L:$L,"Open")+COUNTIFS('NCR Quality Tracker'!$B:$B,A15,'NCR Quality Tracker'!$L:$L,"In Progress")</f>
        <v/>
      </c>
      <c r="I15" s="16">
        <f>IFERROR(C15/B15,0)</f>
        <v/>
      </c>
    </row>
    <row r="16" ht="20" customHeight="1">
      <c r="A16" s="17" t="inlineStr">
        <is>
          <t>Piping</t>
        </is>
      </c>
      <c r="B16" s="18">
        <f>IFERROR(AVERAGEIF('Weekly Progress'!$B:$B,A16,'Weekly Progress'!$G:$G),0)</f>
        <v/>
      </c>
      <c r="C16" s="18">
        <f>IFERROR(AVERAGEIF('Weekly Progress'!$B:$B,A16,'Weekly Progress'!$H:$H),0)</f>
        <v/>
      </c>
      <c r="D16" s="19">
        <f>C16-B16</f>
        <v/>
      </c>
      <c r="E16" s="20">
        <f>IF(D16&gt;0.03,"Ahead",IF(D16&lt;-0.03,"Behind","On Track"))</f>
        <v/>
      </c>
      <c r="F16" s="20">
        <f>COUNTIFS('Action Item Log'!$E:$E,A16,'Action Item Log'!$I:$I,"Open")+COUNTIFS('Action Item Log'!$E:$E,A16,'Action Item Log'!$I:$I,"Overdue")</f>
        <v/>
      </c>
      <c r="G16" s="20">
        <f>COUNTIFS('Risk Register'!$D:$D,A16,'Risk Register'!$M:$M,"Open")+COUNTIFS('Risk Register'!$D:$D,A16,'Risk Register'!$M:$M,"Escalated")</f>
        <v/>
      </c>
      <c r="H16" s="20">
        <f>COUNTIFS('NCR Quality Tracker'!$B:$B,A16,'NCR Quality Tracker'!$L:$L,"Open")+COUNTIFS('NCR Quality Tracker'!$B:$B,A16,'NCR Quality Tracker'!$L:$L,"In Progress")</f>
        <v/>
      </c>
      <c r="I16" s="21">
        <f>IFERROR(C16/B16,0)</f>
        <v/>
      </c>
    </row>
    <row r="17" ht="20" customHeight="1">
      <c r="A17" s="12" t="inlineStr">
        <is>
          <t>HVAC</t>
        </is>
      </c>
      <c r="B17" s="13">
        <f>IFERROR(AVERAGEIF('Weekly Progress'!$B:$B,A17,'Weekly Progress'!$G:$G),0)</f>
        <v/>
      </c>
      <c r="C17" s="13">
        <f>IFERROR(AVERAGEIF('Weekly Progress'!$B:$B,A17,'Weekly Progress'!$H:$H),0)</f>
        <v/>
      </c>
      <c r="D17" s="14">
        <f>C17-B17</f>
        <v/>
      </c>
      <c r="E17" s="15">
        <f>IF(D17&gt;0.03,"Ahead",IF(D17&lt;-0.03,"Behind","On Track"))</f>
        <v/>
      </c>
      <c r="F17" s="15">
        <f>COUNTIFS('Action Item Log'!$E:$E,A17,'Action Item Log'!$I:$I,"Open")+COUNTIFS('Action Item Log'!$E:$E,A17,'Action Item Log'!$I:$I,"Overdue")</f>
        <v/>
      </c>
      <c r="G17" s="15">
        <f>COUNTIFS('Risk Register'!$D:$D,A17,'Risk Register'!$M:$M,"Open")+COUNTIFS('Risk Register'!$D:$D,A17,'Risk Register'!$M:$M,"Escalated")</f>
        <v/>
      </c>
      <c r="H17" s="15">
        <f>COUNTIFS('NCR Quality Tracker'!$B:$B,A17,'NCR Quality Tracker'!$L:$L,"Open")+COUNTIFS('NCR Quality Tracker'!$B:$B,A17,'NCR Quality Tracker'!$L:$L,"In Progress")</f>
        <v/>
      </c>
      <c r="I17" s="16">
        <f>IFERROR(C17/B17,0)</f>
        <v/>
      </c>
    </row>
    <row r="18" ht="20" customHeight="1">
      <c r="A18" s="17" t="inlineStr">
        <is>
          <t>Scaffolding</t>
        </is>
      </c>
      <c r="B18" s="18">
        <f>IFERROR(AVERAGEIF('Weekly Progress'!$B:$B,A18,'Weekly Progress'!$G:$G),0)</f>
        <v/>
      </c>
      <c r="C18" s="18">
        <f>IFERROR(AVERAGEIF('Weekly Progress'!$B:$B,A18,'Weekly Progress'!$H:$H),0)</f>
        <v/>
      </c>
      <c r="D18" s="19">
        <f>C18-B18</f>
        <v/>
      </c>
      <c r="E18" s="20">
        <f>IF(D18&gt;0.03,"Ahead",IF(D18&lt;-0.03,"Behind","On Track"))</f>
        <v/>
      </c>
      <c r="F18" s="20">
        <f>COUNTIFS('Action Item Log'!$E:$E,A18,'Action Item Log'!$I:$I,"Open")+COUNTIFS('Action Item Log'!$E:$E,A18,'Action Item Log'!$I:$I,"Overdue")</f>
        <v/>
      </c>
      <c r="G18" s="20">
        <f>COUNTIFS('Risk Register'!$D:$D,A18,'Risk Register'!$M:$M,"Open")+COUNTIFS('Risk Register'!$D:$D,A18,'Risk Register'!$M:$M,"Escalated")</f>
        <v/>
      </c>
      <c r="H18" s="20">
        <f>COUNTIFS('NCR Quality Tracker'!$B:$B,A18,'NCR Quality Tracker'!$L:$L,"Open")+COUNTIFS('NCR Quality Tracker'!$B:$B,A18,'NCR Quality Tracker'!$L:$L,"In Progress")</f>
        <v/>
      </c>
      <c r="I18" s="21">
        <f>IFERROR(C18/B18,0)</f>
        <v/>
      </c>
    </row>
    <row r="19" ht="12" customHeight="1"/>
    <row r="20" ht="22" customHeight="1">
      <c r="A20" s="3" t="inlineStr">
        <is>
          <t>RISK SUMMARY  ·  COUNTIFS</t>
        </is>
      </c>
      <c r="G20" s="3" t="inlineStr">
        <is>
          <t>ACTION ITEM STATUS  ·  COUNTIF / COUNTIFS</t>
        </is>
      </c>
      <c r="M20" s="3" t="inlineStr">
        <is>
          <t>NCR TYPE BREAKDOWN  ·  COUNTIFS</t>
        </is>
      </c>
    </row>
    <row r="21" ht="26" customHeight="1">
      <c r="A21" s="11" t="inlineStr">
        <is>
          <t>Level</t>
        </is>
      </c>
      <c r="B21" s="11" t="inlineStr">
        <is>
          <t>Total</t>
        </is>
      </c>
      <c r="C21" s="11" t="inlineStr">
        <is>
          <t>Open</t>
        </is>
      </c>
      <c r="D21" s="11" t="inlineStr">
        <is>
          <t>Escalated</t>
        </is>
      </c>
      <c r="E21" s="11" t="inlineStr">
        <is>
          <t>Closed</t>
        </is>
      </c>
      <c r="G21" s="11" t="inlineStr">
        <is>
          <t>Status</t>
        </is>
      </c>
      <c r="H21" s="11" t="inlineStr">
        <is>
          <t>Count</t>
        </is>
      </c>
      <c r="I21" s="11" t="inlineStr">
        <is>
          <t>% of Total</t>
        </is>
      </c>
      <c r="J21" s="11" t="inlineStr">
        <is>
          <t>Critical/High</t>
        </is>
      </c>
      <c r="K21" s="11" t="inlineStr">
        <is>
          <t>Med/Low</t>
        </is>
      </c>
      <c r="M21" s="11" t="inlineStr">
        <is>
          <t>NCR Type</t>
        </is>
      </c>
      <c r="N21" s="11" t="inlineStr">
        <is>
          <t>Total</t>
        </is>
      </c>
      <c r="O21" s="11" t="inlineStr">
        <is>
          <t>Open</t>
        </is>
      </c>
    </row>
    <row r="22" ht="20" customHeight="1">
      <c r="A22" s="22" t="inlineStr">
        <is>
          <t>High</t>
        </is>
      </c>
      <c r="B22" s="15">
        <f>COUNTIF('Risk Register'!$H:$H,"High")</f>
        <v/>
      </c>
      <c r="C22" s="15">
        <f>COUNTIFS('Risk Register'!$H:$H,"High",'Risk Register'!$M:$M,"Open")</f>
        <v/>
      </c>
      <c r="D22" s="15">
        <f>COUNTIFS('Risk Register'!$H:$H,"High",'Risk Register'!$M:$M,"Escalated")</f>
        <v/>
      </c>
      <c r="E22" s="15">
        <f>COUNTIFS('Risk Register'!$H:$H,"High",'Risk Register'!$M:$M,"Closed")</f>
        <v/>
      </c>
      <c r="G22" s="23" t="inlineStr">
        <is>
          <t>Open</t>
        </is>
      </c>
      <c r="H22" s="15">
        <f>COUNTIF('Action Item Log'!$I:$I,"Open")</f>
        <v/>
      </c>
      <c r="I22" s="13">
        <f>IFERROR(H22/COUNTA('Action Item Log'!$I$3:$I$100),0)</f>
        <v/>
      </c>
      <c r="J22" s="15">
        <f>COUNTIFS('Action Item Log'!$I:$I,"Open",'Action Item Log'!$H:$H,"Critical")+COUNTIFS('Action Item Log'!$I:$I,"Open",'Action Item Log'!$H:$H,"High")</f>
        <v/>
      </c>
      <c r="K22" s="15">
        <f>COUNTIFS('Action Item Log'!$I:$I,"Open",'Action Item Log'!$H:$H,"Medium")+COUNTIFS('Action Item Log'!$I:$I,"Open",'Action Item Log'!$H:$H,"Low")</f>
        <v/>
      </c>
      <c r="M22" s="23" t="inlineStr">
        <is>
          <t>Material</t>
        </is>
      </c>
      <c r="N22" s="15">
        <f>COUNTIF('NCR Quality Tracker'!$C:$C,"Material")</f>
        <v/>
      </c>
      <c r="O22" s="15">
        <f>COUNTIFS('NCR Quality Tracker'!$C:$C,"Material",'NCR Quality Tracker'!$L:$L,"Open")</f>
        <v/>
      </c>
    </row>
    <row r="23" ht="20" customHeight="1">
      <c r="A23" s="24" t="inlineStr">
        <is>
          <t>Medium</t>
        </is>
      </c>
      <c r="B23" s="20">
        <f>COUNTIF('Risk Register'!$H:$H,"Medium")</f>
        <v/>
      </c>
      <c r="C23" s="20">
        <f>COUNTIFS('Risk Register'!$H:$H,"Medium",'Risk Register'!$M:$M,"Open")</f>
        <v/>
      </c>
      <c r="D23" s="20">
        <f>COUNTIFS('Risk Register'!$H:$H,"Medium",'Risk Register'!$M:$M,"Escalated")</f>
        <v/>
      </c>
      <c r="E23" s="20">
        <f>COUNTIFS('Risk Register'!$H:$H,"Medium",'Risk Register'!$M:$M,"Closed")</f>
        <v/>
      </c>
      <c r="G23" s="24" t="inlineStr">
        <is>
          <t>In Progress</t>
        </is>
      </c>
      <c r="H23" s="20">
        <f>COUNTIF('Action Item Log'!$I:$I,"In Progress")</f>
        <v/>
      </c>
      <c r="I23" s="18">
        <f>IFERROR(H23/COUNTA('Action Item Log'!$I$3:$I$100),0)</f>
        <v/>
      </c>
      <c r="J23" s="20">
        <f>COUNTIFS('Action Item Log'!$I:$I,"In Progress",'Action Item Log'!$H:$H,"Critical")+COUNTIFS('Action Item Log'!$I:$I,"In Progress",'Action Item Log'!$H:$H,"High")</f>
        <v/>
      </c>
      <c r="K23" s="20">
        <f>COUNTIFS('Action Item Log'!$I:$I,"In Progress",'Action Item Log'!$H:$H,"Medium")+COUNTIFS('Action Item Log'!$I:$I,"In Progress",'Action Item Log'!$H:$H,"Low")</f>
        <v/>
      </c>
      <c r="M23" s="24" t="inlineStr">
        <is>
          <t>Workmanship</t>
        </is>
      </c>
      <c r="N23" s="20">
        <f>COUNTIF('NCR Quality Tracker'!$C:$C,"Workmanship")</f>
        <v/>
      </c>
      <c r="O23" s="20">
        <f>COUNTIFS('NCR Quality Tracker'!$C:$C,"Workmanship",'NCR Quality Tracker'!$L:$L,"Open")</f>
        <v/>
      </c>
    </row>
    <row r="24" ht="20" customHeight="1">
      <c r="A24" s="25" t="inlineStr">
        <is>
          <t>Low</t>
        </is>
      </c>
      <c r="B24" s="15">
        <f>COUNTIF('Risk Register'!$H:$H,"Low")</f>
        <v/>
      </c>
      <c r="C24" s="15">
        <f>COUNTIFS('Risk Register'!$H:$H,"Low",'Risk Register'!$M:$M,"Open")</f>
        <v/>
      </c>
      <c r="D24" s="15">
        <f>COUNTIFS('Risk Register'!$H:$H,"Low",'Risk Register'!$M:$M,"Escalated")</f>
        <v/>
      </c>
      <c r="E24" s="15">
        <f>COUNTIFS('Risk Register'!$H:$H,"Low",'Risk Register'!$M:$M,"Closed")</f>
        <v/>
      </c>
      <c r="G24" s="22" t="inlineStr">
        <is>
          <t>Overdue</t>
        </is>
      </c>
      <c r="H24" s="15">
        <f>COUNTIF('Action Item Log'!$I:$I,"Overdue")</f>
        <v/>
      </c>
      <c r="I24" s="13">
        <f>IFERROR(H24/COUNTA('Action Item Log'!$I$3:$I$100),0)</f>
        <v/>
      </c>
      <c r="J24" s="15">
        <f>COUNTIFS('Action Item Log'!$I:$I,"Overdue",'Action Item Log'!$H:$H,"Critical")+COUNTIFS('Action Item Log'!$I:$I,"Overdue",'Action Item Log'!$H:$H,"High")</f>
        <v/>
      </c>
      <c r="K24" s="15">
        <f>COUNTIFS('Action Item Log'!$I:$I,"Overdue",'Action Item Log'!$H:$H,"Medium")+COUNTIFS('Action Item Log'!$I:$I,"Overdue",'Action Item Log'!$H:$H,"Low")</f>
        <v/>
      </c>
      <c r="M24" s="26" t="inlineStr">
        <is>
          <t>Installation</t>
        </is>
      </c>
      <c r="N24" s="15">
        <f>COUNTIF('NCR Quality Tracker'!$C:$C,"Installation")</f>
        <v/>
      </c>
      <c r="O24" s="15">
        <f>COUNTIFS('NCR Quality Tracker'!$C:$C,"Installation",'NCR Quality Tracker'!$L:$L,"Open")</f>
        <v/>
      </c>
    </row>
    <row r="25" ht="20" customHeight="1">
      <c r="G25" s="25" t="inlineStr">
        <is>
          <t>Closed</t>
        </is>
      </c>
      <c r="H25" s="20">
        <f>COUNTIF('Action Item Log'!$I:$I,"Closed")</f>
        <v/>
      </c>
      <c r="I25" s="18">
        <f>IFERROR(H25/COUNTA('Action Item Log'!$I$3:$I$100),0)</f>
        <v/>
      </c>
      <c r="J25" s="20">
        <f>COUNTIFS('Action Item Log'!$I:$I,"Closed",'Action Item Log'!$H:$H,"Critical")+COUNTIFS('Action Item Log'!$I:$I,"Closed",'Action Item Log'!$H:$H,"High")</f>
        <v/>
      </c>
      <c r="K25" s="20">
        <f>COUNTIFS('Action Item Log'!$I:$I,"Closed",'Action Item Log'!$H:$H,"Medium")+COUNTIFS('Action Item Log'!$I:$I,"Closed",'Action Item Log'!$H:$H,"Low")</f>
        <v/>
      </c>
    </row>
    <row r="26" ht="12" customHeight="1"/>
    <row r="27" ht="22" customHeight="1">
      <c r="A27" s="3" t="inlineStr">
        <is>
          <t>MONTHLY BUDGET &amp; EARNED VALUE SUMMARY  ·  SUMIFS multi-criteria aggregation</t>
        </is>
      </c>
    </row>
    <row r="28" ht="32" customHeight="1">
      <c r="A28" s="11" t="inlineStr">
        <is>
          <t>Month</t>
        </is>
      </c>
      <c r="B28" s="11" t="inlineStr">
        <is>
          <t>Budget Hours
(SUMIFS)</t>
        </is>
      </c>
      <c r="C28" s="11" t="inlineStr">
        <is>
          <t>Actual Hours
(SUMIFS)</t>
        </is>
      </c>
      <c r="D28" s="11" t="inlineStr">
        <is>
          <t>Hours Var</t>
        </is>
      </c>
      <c r="E28" s="11" t="inlineStr">
        <is>
          <t>Earned Value
(SUMIFS)</t>
        </is>
      </c>
      <c r="F28" s="11" t="inlineStr">
        <is>
          <t>Planned Value
(SUMIFS)</t>
        </is>
      </c>
      <c r="G28" s="11" t="inlineStr">
        <is>
          <t>SV  (EV−PV)</t>
        </is>
      </c>
      <c r="H28" s="11" t="inlineStr">
        <is>
          <t>CPI  (EV÷PV)</t>
        </is>
      </c>
    </row>
    <row r="29" ht="20" customHeight="1">
      <c r="A29" s="15" t="inlineStr">
        <is>
          <t>Feb-26</t>
        </is>
      </c>
      <c r="B29" s="15">
        <f>IFERROR(SUMIFS('Monthly Report'!$C:$C,'Monthly Report'!$A:$A,A29),0)</f>
        <v/>
      </c>
      <c r="C29" s="15">
        <f>IFERROR(SUMIFS('Monthly Report'!$D:$D,'Monthly Report'!$A:$A,A29),0)</f>
        <v/>
      </c>
      <c r="D29" s="15">
        <f>C29-B29</f>
        <v/>
      </c>
      <c r="E29" s="27">
        <f>IFERROR(SUMIFS('Monthly Report'!$G:$G,'Monthly Report'!$A:$A,A29),0)</f>
        <v/>
      </c>
      <c r="F29" s="27">
        <f>IFERROR(SUMIFS('Monthly Report'!$H:$H,'Monthly Report'!$A:$A,A29),0)</f>
        <v/>
      </c>
      <c r="G29" s="27">
        <f>E29-F29</f>
        <v/>
      </c>
      <c r="H29" s="28">
        <f>IFERROR(E29/F29,0)</f>
        <v/>
      </c>
    </row>
    <row r="30" ht="20" customHeight="1">
      <c r="A30" s="20" t="inlineStr">
        <is>
          <t>Mar-26</t>
        </is>
      </c>
      <c r="B30" s="20">
        <f>IFERROR(SUMIFS('Monthly Report'!$C:$C,'Monthly Report'!$A:$A,A30),0)</f>
        <v/>
      </c>
      <c r="C30" s="20">
        <f>IFERROR(SUMIFS('Monthly Report'!$D:$D,'Monthly Report'!$A:$A,A30),0)</f>
        <v/>
      </c>
      <c r="D30" s="20">
        <f>C30-B30</f>
        <v/>
      </c>
      <c r="E30" s="29">
        <f>IFERROR(SUMIFS('Monthly Report'!$G:$G,'Monthly Report'!$A:$A,A30),0)</f>
        <v/>
      </c>
      <c r="F30" s="29">
        <f>IFERROR(SUMIFS('Monthly Report'!$H:$H,'Monthly Report'!$A:$A,A30),0)</f>
        <v/>
      </c>
      <c r="G30" s="29">
        <f>E30-F30</f>
        <v/>
      </c>
      <c r="H30" s="30">
        <f>IFERROR(E30/F30,0)</f>
        <v/>
      </c>
    </row>
    <row r="31" ht="20" customHeight="1">
      <c r="A31" s="15" t="inlineStr">
        <is>
          <t>Apr-26</t>
        </is>
      </c>
      <c r="B31" s="15">
        <f>IFERROR(SUMIFS('Monthly Report'!$C:$C,'Monthly Report'!$A:$A,A31),0)</f>
        <v/>
      </c>
      <c r="C31" s="15">
        <f>IFERROR(SUMIFS('Monthly Report'!$D:$D,'Monthly Report'!$A:$A,A31),0)</f>
        <v/>
      </c>
      <c r="D31" s="15">
        <f>C31-B31</f>
        <v/>
      </c>
      <c r="E31" s="27">
        <f>IFERROR(SUMIFS('Monthly Report'!$G:$G,'Monthly Report'!$A:$A,A31),0)</f>
        <v/>
      </c>
      <c r="F31" s="27">
        <f>IFERROR(SUMIFS('Monthly Report'!$H:$H,'Monthly Report'!$A:$A,A31),0)</f>
        <v/>
      </c>
      <c r="G31" s="27">
        <f>E31-F31</f>
        <v/>
      </c>
      <c r="H31" s="28">
        <f>IFERROR(E31/F31,0)</f>
        <v/>
      </c>
    </row>
    <row r="34" ht="22" customHeight="1">
      <c r="A34" s="3" t="inlineStr">
        <is>
          <t>VISUAL ANALYTICS  ·  Charts refresh automatically when data changes</t>
        </is>
      </c>
    </row>
  </sheetData>
  <mergeCells count="24">
    <mergeCell ref="J6:L6"/>
    <mergeCell ref="G6:I6"/>
    <mergeCell ref="M7:O7"/>
    <mergeCell ref="A27:O27"/>
    <mergeCell ref="D7:F7"/>
    <mergeCell ref="M6:O6"/>
    <mergeCell ref="J7:L7"/>
    <mergeCell ref="A2:O2"/>
    <mergeCell ref="A5:C5"/>
    <mergeCell ref="G5:I5"/>
    <mergeCell ref="A4:O4"/>
    <mergeCell ref="M20:O20"/>
    <mergeCell ref="D5:F5"/>
    <mergeCell ref="A34:O34"/>
    <mergeCell ref="A9:O9"/>
    <mergeCell ref="J5:L5"/>
    <mergeCell ref="A20:E20"/>
    <mergeCell ref="G20:K20"/>
    <mergeCell ref="A6:C6"/>
    <mergeCell ref="M5:O5"/>
    <mergeCell ref="D6:F6"/>
    <mergeCell ref="A1:O1"/>
    <mergeCell ref="A7:C7"/>
    <mergeCell ref="G7:I7"/>
  </mergeCells>
  <conditionalFormatting sqref="E11:E18">
    <cfRule type="expression" priority="1" dxfId="0">
      <formula>$E11="Ahead"</formula>
    </cfRule>
    <cfRule type="expression" priority="2" dxfId="1">
      <formula>$E11="On Track"</formula>
    </cfRule>
    <cfRule type="expression" priority="3" dxfId="2">
      <formula>$E11="Behind"</formula>
    </cfRule>
  </conditionalFormatting>
  <conditionalFormatting sqref="D11:D18">
    <cfRule type="colorScale" priority="4">
      <colorScale>
        <cfvo type="min"/>
        <cfvo type="num" val="0"/>
        <cfvo type="max"/>
        <color rgb="00FEE2E2"/>
        <color rgb="00F1F5F9"/>
        <color rgb="00DCFCE7"/>
      </colorScale>
    </cfRule>
  </conditionalFormatting>
  <conditionalFormatting sqref="I11:I18">
    <cfRule type="colorScale" priority="5">
      <colorScale>
        <cfvo type="num" val="0.7"/>
        <cfvo type="num" val="1"/>
        <cfvo type="num" val="1.3"/>
        <color rgb="00FEE2E2"/>
        <color rgb="00F1F5F9"/>
        <color rgb="00DCFCE7"/>
      </colorScale>
    </cfRule>
  </conditionalFormatting>
  <conditionalFormatting sqref="D29:D31">
    <cfRule type="expression" priority="6" dxfId="3">
      <formula>$D29&lt;0</formula>
    </cfRule>
    <cfRule type="expression" priority="7" dxfId="4">
      <formula>$D29&gt;=0</formula>
    </cfRule>
  </conditionalFormatting>
  <conditionalFormatting sqref="G29:G31">
    <cfRule type="expression" priority="8" dxfId="3">
      <formula>$G29&lt;0</formula>
    </cfRule>
    <cfRule type="expression" priority="9" dxfId="4">
      <formula>$G29&gt;=0</formula>
    </cfRule>
  </conditionalFormatting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</hyperlinks>
  <pageMargins left="0.75" right="0.75" top="1" bottom="1" header="0.5" footer="0.5"/>
  <pageSetup orientation="portrait" fitToHeight="0" fitToWidth="1"/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tabColor rgb="001E293B"/>
    <outlinePr summaryBelow="1" summaryRight="1"/>
    <pageSetUpPr fitToPage="1"/>
  </sheetPr>
  <dimension ref="A1:N2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2" customWidth="1" min="3" max="3"/>
    <col width="16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7" customWidth="1" min="10" max="10"/>
    <col width="13" customWidth="1" min="11" max="11"/>
    <col width="17" customWidth="1" min="12" max="12"/>
    <col width="12" customWidth="1" min="13" max="13"/>
    <col width="36" customWidth="1" min="14" max="14"/>
  </cols>
  <sheetData>
    <row r="1" ht="40" customHeight="1">
      <c r="A1" s="1" t="inlineStr">
        <is>
          <t>WEEKLY PROGRESS TRACKER — Construction Site</t>
        </is>
      </c>
    </row>
    <row r="2" ht="26" customHeight="1">
      <c r="A2" s="2" t="inlineStr">
        <is>
          <t>Manual entry: columns G (Planned %) and H (Actual %).  Formula-driven: I (Variance = H−G) · K (Status = IF logic) · L (Responsible = XLOOKUP) — do not overwrite.</t>
        </is>
      </c>
    </row>
    <row r="3" ht="36" customHeight="1">
      <c r="A3" s="11" t="inlineStr">
        <is>
          <t>ID</t>
        </is>
      </c>
      <c r="B3" s="11" t="inlineStr">
        <is>
          <t>Discipline</t>
        </is>
      </c>
      <c r="C3" s="11" t="inlineStr">
        <is>
          <t>Activity Description</t>
        </is>
      </c>
      <c r="D3" s="11" t="inlineStr">
        <is>
          <t>Location</t>
        </is>
      </c>
      <c r="E3" s="11" t="inlineStr">
        <is>
          <t>Planned
Start</t>
        </is>
      </c>
      <c r="F3" s="11" t="inlineStr">
        <is>
          <t>Planned
Finish</t>
        </is>
      </c>
      <c r="G3" s="11" t="inlineStr">
        <is>
          <t>Planned %
↓ enter</t>
        </is>
      </c>
      <c r="H3" s="11" t="inlineStr">
        <is>
          <t>Actual %
↓ enter</t>
        </is>
      </c>
      <c r="I3" s="11" t="inlineStr">
        <is>
          <t>Variance %
=H−G</t>
        </is>
      </c>
      <c r="J3" s="11" t="inlineStr">
        <is>
          <t>Week</t>
        </is>
      </c>
      <c r="K3" s="11" t="inlineStr">
        <is>
          <t>Status
=IF formula</t>
        </is>
      </c>
      <c r="L3" s="11" t="inlineStr">
        <is>
          <t>Responsible
=XLOOKUP</t>
        </is>
      </c>
      <c r="M3" s="11" t="inlineStr">
        <is>
          <t>Submitted</t>
        </is>
      </c>
      <c r="N3" s="11" t="inlineStr">
        <is>
          <t>Comments</t>
        </is>
      </c>
    </row>
    <row r="4" ht="20" customHeight="1">
      <c r="A4" s="15" t="inlineStr">
        <is>
          <t>WP-001</t>
        </is>
      </c>
      <c r="B4" s="15" t="inlineStr">
        <is>
          <t>Civil</t>
        </is>
      </c>
      <c r="C4" s="15" t="inlineStr">
        <is>
          <t>Excavation — Foundation Area B3</t>
        </is>
      </c>
      <c r="D4" s="15" t="inlineStr">
        <is>
          <t>Zone B</t>
        </is>
      </c>
      <c r="E4" s="31" t="n">
        <v>46091</v>
      </c>
      <c r="F4" s="31" t="n">
        <v>46132</v>
      </c>
      <c r="G4" s="13" t="n">
        <v>1</v>
      </c>
      <c r="H4" s="13" t="n">
        <v>1</v>
      </c>
      <c r="I4" s="14">
        <f>H4-G4</f>
        <v/>
      </c>
      <c r="J4" s="15" t="n">
        <v>18</v>
      </c>
      <c r="K4" s="15">
        <f>IF(H4&gt;=1,"Completed",IF(G4=0,"Not Started",IF(H4-G4&gt;0.03,"Ahead",IF(G4-H4&gt;0.03,"Behind","On Track"))))</f>
        <v/>
      </c>
      <c r="L4" s="15">
        <f>IFERROR(XLOOKUP(B4,'Lookup Tables'!$A$6:$A$14,'Lookup Tables'!$B$6:$B$14,"TBD"),"-")</f>
        <v/>
      </c>
      <c r="M4" s="31" t="n">
        <v>46143</v>
      </c>
      <c r="N4" s="15" t="inlineStr"/>
    </row>
    <row r="5" ht="20" customHeight="1">
      <c r="A5" s="20" t="inlineStr">
        <is>
          <t>WP-002</t>
        </is>
      </c>
      <c r="B5" s="20" t="inlineStr">
        <is>
          <t>Civil</t>
        </is>
      </c>
      <c r="C5" s="20" t="inlineStr">
        <is>
          <t>Concrete Pour — Pile Caps Grid 4–7</t>
        </is>
      </c>
      <c r="D5" s="20" t="inlineStr">
        <is>
          <t>Zone B</t>
        </is>
      </c>
      <c r="E5" s="32" t="n">
        <v>46113</v>
      </c>
      <c r="F5" s="32" t="n">
        <v>46140</v>
      </c>
      <c r="G5" s="18" t="n">
        <v>0.8</v>
      </c>
      <c r="H5" s="18" t="n">
        <v>0.75</v>
      </c>
      <c r="I5" s="19">
        <f>H5-G5</f>
        <v/>
      </c>
      <c r="J5" s="20" t="n">
        <v>18</v>
      </c>
      <c r="K5" s="20">
        <f>IF(H5&gt;=1,"Completed",IF(G5=0,"Not Started",IF(H5-G5&gt;0.03,"Ahead",IF(G5-H5&gt;0.03,"Behind","On Track"))))</f>
        <v/>
      </c>
      <c r="L5" s="20">
        <f>IFERROR(XLOOKUP(B5,'Lookup Tables'!$A$6:$A$14,'Lookup Tables'!$B$6:$B$14,"TBD"),"-")</f>
        <v/>
      </c>
      <c r="M5" s="32" t="n">
        <v>46143</v>
      </c>
      <c r="N5" s="20" t="inlineStr"/>
    </row>
    <row r="6" ht="20" customHeight="1">
      <c r="A6" s="15" t="inlineStr">
        <is>
          <t>WP-003</t>
        </is>
      </c>
      <c r="B6" s="15" t="inlineStr">
        <is>
          <t>Civil</t>
        </is>
      </c>
      <c r="C6" s="15" t="inlineStr">
        <is>
          <t>Backfill &amp; Compaction Block C</t>
        </is>
      </c>
      <c r="D6" s="15" t="inlineStr">
        <is>
          <t>Zone C</t>
        </is>
      </c>
      <c r="E6" s="31" t="n">
        <v>46127</v>
      </c>
      <c r="F6" s="31" t="n">
        <v>46152</v>
      </c>
      <c r="G6" s="13" t="n">
        <v>0.4</v>
      </c>
      <c r="H6" s="13" t="n">
        <v>0.35</v>
      </c>
      <c r="I6" s="14">
        <f>H6-G6</f>
        <v/>
      </c>
      <c r="J6" s="15" t="n">
        <v>18</v>
      </c>
      <c r="K6" s="15">
        <f>IF(H6&gt;=1,"Completed",IF(G6=0,"Not Started",IF(H6-G6&gt;0.03,"Ahead",IF(G6-H6&gt;0.03,"Behind","On Track"))))</f>
        <v/>
      </c>
      <c r="L6" s="15">
        <f>IFERROR(XLOOKUP(B6,'Lookup Tables'!$A$6:$A$14,'Lookup Tables'!$B$6:$B$14,"TBD"),"-")</f>
        <v/>
      </c>
      <c r="M6" s="31" t="n">
        <v>46143</v>
      </c>
      <c r="N6" s="15" t="inlineStr"/>
    </row>
    <row r="7" ht="20" customHeight="1">
      <c r="A7" s="20" t="inlineStr">
        <is>
          <t>WP-004</t>
        </is>
      </c>
      <c r="B7" s="20" t="inlineStr">
        <is>
          <t>Structural</t>
        </is>
      </c>
      <c r="C7" s="20" t="inlineStr">
        <is>
          <t>Steel Erection — Main Frame Level 1</t>
        </is>
      </c>
      <c r="D7" s="20" t="inlineStr">
        <is>
          <t>Building 1</t>
        </is>
      </c>
      <c r="E7" s="32" t="n">
        <v>46101</v>
      </c>
      <c r="F7" s="32" t="n">
        <v>46147</v>
      </c>
      <c r="G7" s="18" t="n">
        <v>0.9</v>
      </c>
      <c r="H7" s="18" t="n">
        <v>0.95</v>
      </c>
      <c r="I7" s="19">
        <f>H7-G7</f>
        <v/>
      </c>
      <c r="J7" s="20" t="n">
        <v>18</v>
      </c>
      <c r="K7" s="20">
        <f>IF(H7&gt;=1,"Completed",IF(G7=0,"Not Started",IF(H7-G7&gt;0.03,"Ahead",IF(G7-H7&gt;0.03,"Behind","On Track"))))</f>
        <v/>
      </c>
      <c r="L7" s="20">
        <f>IFERROR(XLOOKUP(B7,'Lookup Tables'!$A$6:$A$14,'Lookup Tables'!$B$6:$B$14,"TBD"),"-")</f>
        <v/>
      </c>
      <c r="M7" s="32" t="n">
        <v>46143</v>
      </c>
      <c r="N7" s="20" t="inlineStr"/>
    </row>
    <row r="8" ht="20" customHeight="1">
      <c r="A8" s="15" t="inlineStr">
        <is>
          <t>WP-005</t>
        </is>
      </c>
      <c r="B8" s="15" t="inlineStr">
        <is>
          <t>Structural</t>
        </is>
      </c>
      <c r="C8" s="15" t="inlineStr">
        <is>
          <t>Secondary Steelwork — Mezzanine</t>
        </is>
      </c>
      <c r="D8" s="15" t="inlineStr">
        <is>
          <t>Building 1</t>
        </is>
      </c>
      <c r="E8" s="31" t="n">
        <v>46122</v>
      </c>
      <c r="F8" s="31" t="n">
        <v>46162</v>
      </c>
      <c r="G8" s="13" t="n">
        <v>0.55</v>
      </c>
      <c r="H8" s="13" t="n">
        <v>0.58</v>
      </c>
      <c r="I8" s="14">
        <f>H8-G8</f>
        <v/>
      </c>
      <c r="J8" s="15" t="n">
        <v>18</v>
      </c>
      <c r="K8" s="15">
        <f>IF(H8&gt;=1,"Completed",IF(G8=0,"Not Started",IF(H8-G8&gt;0.03,"Ahead",IF(G8-H8&gt;0.03,"Behind","On Track"))))</f>
        <v/>
      </c>
      <c r="L8" s="15">
        <f>IFERROR(XLOOKUP(B8,'Lookup Tables'!$A$6:$A$14,'Lookup Tables'!$B$6:$B$14,"TBD"),"-")</f>
        <v/>
      </c>
      <c r="M8" s="31" t="n">
        <v>46143</v>
      </c>
      <c r="N8" s="15" t="inlineStr"/>
    </row>
    <row r="9" ht="20" customHeight="1">
      <c r="A9" s="20" t="inlineStr">
        <is>
          <t>WP-006</t>
        </is>
      </c>
      <c r="B9" s="20" t="inlineStr">
        <is>
          <t>Electrical</t>
        </is>
      </c>
      <c r="C9" s="20" t="inlineStr">
        <is>
          <t>Cable Tray Installation — HV Zone</t>
        </is>
      </c>
      <c r="D9" s="20" t="inlineStr">
        <is>
          <t>Substation</t>
        </is>
      </c>
      <c r="E9" s="32" t="n">
        <v>46113</v>
      </c>
      <c r="F9" s="32" t="n">
        <v>46157</v>
      </c>
      <c r="G9" s="18" t="n">
        <v>0.6</v>
      </c>
      <c r="H9" s="18" t="n">
        <v>0.55</v>
      </c>
      <c r="I9" s="19">
        <f>H9-G9</f>
        <v/>
      </c>
      <c r="J9" s="20" t="n">
        <v>18</v>
      </c>
      <c r="K9" s="20">
        <f>IF(H9&gt;=1,"Completed",IF(G9=0,"Not Started",IF(H9-G9&gt;0.03,"Ahead",IF(G9-H9&gt;0.03,"Behind","On Track"))))</f>
        <v/>
      </c>
      <c r="L9" s="20">
        <f>IFERROR(XLOOKUP(B9,'Lookup Tables'!$A$6:$A$14,'Lookup Tables'!$B$6:$B$14,"TBD"),"-")</f>
        <v/>
      </c>
      <c r="M9" s="32" t="n">
        <v>46143</v>
      </c>
      <c r="N9" s="20" t="inlineStr"/>
    </row>
    <row r="10" ht="20" customHeight="1">
      <c r="A10" s="15" t="inlineStr">
        <is>
          <t>WP-007</t>
        </is>
      </c>
      <c r="B10" s="15" t="inlineStr">
        <is>
          <t>Electrical</t>
        </is>
      </c>
      <c r="C10" s="15" t="inlineStr">
        <is>
          <t>LV Panel Wiring — Control Room</t>
        </is>
      </c>
      <c r="D10" s="15" t="inlineStr">
        <is>
          <t>Ctrl Room</t>
        </is>
      </c>
      <c r="E10" s="31" t="n">
        <v>46132</v>
      </c>
      <c r="F10" s="31" t="n">
        <v>46172</v>
      </c>
      <c r="G10" s="13" t="n">
        <v>0.25</v>
      </c>
      <c r="H10" s="13" t="n">
        <v>0.2</v>
      </c>
      <c r="I10" s="14">
        <f>H10-G10</f>
        <v/>
      </c>
      <c r="J10" s="15" t="n">
        <v>18</v>
      </c>
      <c r="K10" s="15">
        <f>IF(H10&gt;=1,"Completed",IF(G10=0,"Not Started",IF(H10-G10&gt;0.03,"Ahead",IF(G10-H10&gt;0.03,"Behind","On Track"))))</f>
        <v/>
      </c>
      <c r="L10" s="15">
        <f>IFERROR(XLOOKUP(B10,'Lookup Tables'!$A$6:$A$14,'Lookup Tables'!$B$6:$B$14,"TBD"),"-")</f>
        <v/>
      </c>
      <c r="M10" s="31" t="n">
        <v>46143</v>
      </c>
      <c r="N10" s="15" t="inlineStr"/>
    </row>
    <row r="11" ht="20" customHeight="1">
      <c r="A11" s="20" t="inlineStr">
        <is>
          <t>WP-008</t>
        </is>
      </c>
      <c r="B11" s="20" t="inlineStr">
        <is>
          <t>Mechanical</t>
        </is>
      </c>
      <c r="C11" s="20" t="inlineStr">
        <is>
          <t>Equipment Setting — Pump Skids P1–P4</t>
        </is>
      </c>
      <c r="D11" s="20" t="inlineStr">
        <is>
          <t>Pump Hall</t>
        </is>
      </c>
      <c r="E11" s="32" t="n">
        <v>46117</v>
      </c>
      <c r="F11" s="32" t="n">
        <v>46152</v>
      </c>
      <c r="G11" s="18" t="n">
        <v>0.7</v>
      </c>
      <c r="H11" s="18" t="n">
        <v>0.72</v>
      </c>
      <c r="I11" s="19">
        <f>H11-G11</f>
        <v/>
      </c>
      <c r="J11" s="20" t="n">
        <v>18</v>
      </c>
      <c r="K11" s="20">
        <f>IF(H11&gt;=1,"Completed",IF(G11=0,"Not Started",IF(H11-G11&gt;0.03,"Ahead",IF(G11-H11&gt;0.03,"Behind","On Track"))))</f>
        <v/>
      </c>
      <c r="L11" s="20">
        <f>IFERROR(XLOOKUP(B11,'Lookup Tables'!$A$6:$A$14,'Lookup Tables'!$B$6:$B$14,"TBD"),"-")</f>
        <v/>
      </c>
      <c r="M11" s="32" t="n">
        <v>46143</v>
      </c>
      <c r="N11" s="20" t="inlineStr"/>
    </row>
    <row r="12" ht="20" customHeight="1">
      <c r="A12" s="15" t="inlineStr">
        <is>
          <t>WP-009</t>
        </is>
      </c>
      <c r="B12" s="15" t="inlineStr">
        <is>
          <t>Mechanical</t>
        </is>
      </c>
      <c r="C12" s="15" t="inlineStr">
        <is>
          <t>Crane Girder Installation</t>
        </is>
      </c>
      <c r="D12" s="15" t="inlineStr">
        <is>
          <t>Warehouse</t>
        </is>
      </c>
      <c r="E12" s="31" t="n">
        <v>46127</v>
      </c>
      <c r="F12" s="31" t="n">
        <v>46167</v>
      </c>
      <c r="G12" s="13" t="n">
        <v>0.4</v>
      </c>
      <c r="H12" s="13" t="n">
        <v>0.38</v>
      </c>
      <c r="I12" s="14">
        <f>H12-G12</f>
        <v/>
      </c>
      <c r="J12" s="15" t="n">
        <v>18</v>
      </c>
      <c r="K12" s="15">
        <f>IF(H12&gt;=1,"Completed",IF(G12=0,"Not Started",IF(H12-G12&gt;0.03,"Ahead",IF(G12-H12&gt;0.03,"Behind","On Track"))))</f>
        <v/>
      </c>
      <c r="L12" s="15">
        <f>IFERROR(XLOOKUP(B12,'Lookup Tables'!$A$6:$A$14,'Lookup Tables'!$B$6:$B$14,"TBD"),"-")</f>
        <v/>
      </c>
      <c r="M12" s="31" t="n">
        <v>46143</v>
      </c>
      <c r="N12" s="15" t="inlineStr"/>
    </row>
    <row r="13" ht="20" customHeight="1">
      <c r="A13" s="20" t="inlineStr">
        <is>
          <t>WP-010</t>
        </is>
      </c>
      <c r="B13" s="20" t="inlineStr">
        <is>
          <t>Instrumentation</t>
        </is>
      </c>
      <c r="C13" s="20" t="inlineStr">
        <is>
          <t>Instrument Loop Drawing Review</t>
        </is>
      </c>
      <c r="D13" s="20" t="inlineStr">
        <is>
          <t>All Areas</t>
        </is>
      </c>
      <c r="E13" s="32" t="n">
        <v>46106</v>
      </c>
      <c r="F13" s="32" t="n">
        <v>46142</v>
      </c>
      <c r="G13" s="18" t="n">
        <v>0.95</v>
      </c>
      <c r="H13" s="18" t="n">
        <v>0.9</v>
      </c>
      <c r="I13" s="19">
        <f>H13-G13</f>
        <v/>
      </c>
      <c r="J13" s="20" t="n">
        <v>18</v>
      </c>
      <c r="K13" s="20">
        <f>IF(H13&gt;=1,"Completed",IF(G13=0,"Not Started",IF(H13-G13&gt;0.03,"Ahead",IF(G13-H13&gt;0.03,"Behind","On Track"))))</f>
        <v/>
      </c>
      <c r="L13" s="20">
        <f>IFERROR(XLOOKUP(B13,'Lookup Tables'!$A$6:$A$14,'Lookup Tables'!$B$6:$B$14,"TBD"),"-")</f>
        <v/>
      </c>
      <c r="M13" s="32" t="n">
        <v>46143</v>
      </c>
      <c r="N13" s="20" t="inlineStr"/>
    </row>
    <row r="14" ht="20" customHeight="1">
      <c r="A14" s="15" t="inlineStr">
        <is>
          <t>WP-011</t>
        </is>
      </c>
      <c r="B14" s="15" t="inlineStr">
        <is>
          <t>Instrumentation</t>
        </is>
      </c>
      <c r="C14" s="15" t="inlineStr">
        <is>
          <t>Field Instrument Installation Ph.1</t>
        </is>
      </c>
      <c r="D14" s="15" t="inlineStr">
        <is>
          <t>Zone A</t>
        </is>
      </c>
      <c r="E14" s="31" t="n">
        <v>46132</v>
      </c>
      <c r="F14" s="31" t="n">
        <v>46188</v>
      </c>
      <c r="G14" s="13" t="n">
        <v>0.2</v>
      </c>
      <c r="H14" s="13" t="n">
        <v>0.18</v>
      </c>
      <c r="I14" s="14">
        <f>H14-G14</f>
        <v/>
      </c>
      <c r="J14" s="15" t="n">
        <v>18</v>
      </c>
      <c r="K14" s="15">
        <f>IF(H14&gt;=1,"Completed",IF(G14=0,"Not Started",IF(H14-G14&gt;0.03,"Ahead",IF(G14-H14&gt;0.03,"Behind","On Track"))))</f>
        <v/>
      </c>
      <c r="L14" s="15">
        <f>IFERROR(XLOOKUP(B14,'Lookup Tables'!$A$6:$A$14,'Lookup Tables'!$B$6:$B$14,"TBD"),"-")</f>
        <v/>
      </c>
      <c r="M14" s="31" t="n">
        <v>46143</v>
      </c>
      <c r="N14" s="15" t="inlineStr"/>
    </row>
    <row r="15" ht="20" customHeight="1">
      <c r="A15" s="20" t="inlineStr">
        <is>
          <t>WP-012</t>
        </is>
      </c>
      <c r="B15" s="20" t="inlineStr">
        <is>
          <t>Piping</t>
        </is>
      </c>
      <c r="C15" s="20" t="inlineStr">
        <is>
          <t>Piping Spool Fabrication</t>
        </is>
      </c>
      <c r="D15" s="20" t="inlineStr">
        <is>
          <t>Fab Shop</t>
        </is>
      </c>
      <c r="E15" s="32" t="n">
        <v>46082</v>
      </c>
      <c r="F15" s="32" t="n">
        <v>46142</v>
      </c>
      <c r="G15" s="18" t="n">
        <v>1</v>
      </c>
      <c r="H15" s="18" t="n">
        <v>1</v>
      </c>
      <c r="I15" s="19">
        <f>H15-G15</f>
        <v/>
      </c>
      <c r="J15" s="20" t="n">
        <v>18</v>
      </c>
      <c r="K15" s="20">
        <f>IF(H15&gt;=1,"Completed",IF(G15=0,"Not Started",IF(H15-G15&gt;0.03,"Ahead",IF(G15-H15&gt;0.03,"Behind","On Track"))))</f>
        <v/>
      </c>
      <c r="L15" s="20">
        <f>IFERROR(XLOOKUP(B15,'Lookup Tables'!$A$6:$A$14,'Lookup Tables'!$B$6:$B$14,"TBD"),"-")</f>
        <v/>
      </c>
      <c r="M15" s="32" t="n">
        <v>46143</v>
      </c>
      <c r="N15" s="20" t="inlineStr"/>
    </row>
    <row r="16" ht="20" customHeight="1">
      <c r="A16" s="15" t="inlineStr">
        <is>
          <t>WP-013</t>
        </is>
      </c>
      <c r="B16" s="15" t="inlineStr">
        <is>
          <t>Piping</t>
        </is>
      </c>
      <c r="C16" s="15" t="inlineStr">
        <is>
          <t>Piping Installation — Process Area</t>
        </is>
      </c>
      <c r="D16" s="15" t="inlineStr">
        <is>
          <t>Zone A</t>
        </is>
      </c>
      <c r="E16" s="31" t="n">
        <v>46122</v>
      </c>
      <c r="F16" s="31" t="n">
        <v>46174</v>
      </c>
      <c r="G16" s="13" t="n">
        <v>0.45</v>
      </c>
      <c r="H16" s="13" t="n">
        <v>0.48</v>
      </c>
      <c r="I16" s="14">
        <f>H16-G16</f>
        <v/>
      </c>
      <c r="J16" s="15" t="n">
        <v>18</v>
      </c>
      <c r="K16" s="15">
        <f>IF(H16&gt;=1,"Completed",IF(G16=0,"Not Started",IF(H16-G16&gt;0.03,"Ahead",IF(G16-H16&gt;0.03,"Behind","On Track"))))</f>
        <v/>
      </c>
      <c r="L16" s="15">
        <f>IFERROR(XLOOKUP(B16,'Lookup Tables'!$A$6:$A$14,'Lookup Tables'!$B$6:$B$14,"TBD"),"-")</f>
        <v/>
      </c>
      <c r="M16" s="31" t="n">
        <v>46143</v>
      </c>
      <c r="N16" s="15" t="inlineStr"/>
    </row>
    <row r="17" ht="20" customHeight="1">
      <c r="A17" s="20" t="inlineStr">
        <is>
          <t>WP-014</t>
        </is>
      </c>
      <c r="B17" s="20" t="inlineStr">
        <is>
          <t>Piping</t>
        </is>
      </c>
      <c r="C17" s="20" t="inlineStr">
        <is>
          <t>Hydrostatic Testing — Line P-101</t>
        </is>
      </c>
      <c r="D17" s="20" t="inlineStr">
        <is>
          <t>Zone A</t>
        </is>
      </c>
      <c r="E17" s="32" t="n">
        <v>46137</v>
      </c>
      <c r="F17" s="32" t="n">
        <v>46147</v>
      </c>
      <c r="G17" s="18" t="n">
        <v>1</v>
      </c>
      <c r="H17" s="18" t="n">
        <v>1</v>
      </c>
      <c r="I17" s="19">
        <f>H17-G17</f>
        <v/>
      </c>
      <c r="J17" s="20" t="n">
        <v>18</v>
      </c>
      <c r="K17" s="20">
        <f>IF(H17&gt;=1,"Completed",IF(G17=0,"Not Started",IF(H17-G17&gt;0.03,"Ahead",IF(G17-H17&gt;0.03,"Behind","On Track"))))</f>
        <v/>
      </c>
      <c r="L17" s="20">
        <f>IFERROR(XLOOKUP(B17,'Lookup Tables'!$A$6:$A$14,'Lookup Tables'!$B$6:$B$14,"TBD"),"-")</f>
        <v/>
      </c>
      <c r="M17" s="32" t="n">
        <v>46143</v>
      </c>
      <c r="N17" s="20" t="inlineStr"/>
    </row>
    <row r="18" ht="20" customHeight="1">
      <c r="A18" s="15" t="inlineStr">
        <is>
          <t>WP-015</t>
        </is>
      </c>
      <c r="B18" s="15" t="inlineStr">
        <is>
          <t>HVAC</t>
        </is>
      </c>
      <c r="C18" s="15" t="inlineStr">
        <is>
          <t>Duct Fabrication &amp; Delivery</t>
        </is>
      </c>
      <c r="D18" s="15" t="inlineStr">
        <is>
          <t>Fab Shop</t>
        </is>
      </c>
      <c r="E18" s="31" t="n">
        <v>46101</v>
      </c>
      <c r="F18" s="31" t="n">
        <v>46137</v>
      </c>
      <c r="G18" s="13" t="n">
        <v>0.85</v>
      </c>
      <c r="H18" s="13" t="n">
        <v>0.8</v>
      </c>
      <c r="I18" s="14">
        <f>H18-G18</f>
        <v/>
      </c>
      <c r="J18" s="15" t="n">
        <v>18</v>
      </c>
      <c r="K18" s="15">
        <f>IF(H18&gt;=1,"Completed",IF(G18=0,"Not Started",IF(H18-G18&gt;0.03,"Ahead",IF(G18-H18&gt;0.03,"Behind","On Track"))))</f>
        <v/>
      </c>
      <c r="L18" s="15">
        <f>IFERROR(XLOOKUP(B18,'Lookup Tables'!$A$6:$A$14,'Lookup Tables'!$B$6:$B$14,"TBD"),"-")</f>
        <v/>
      </c>
      <c r="M18" s="31" t="n">
        <v>46143</v>
      </c>
      <c r="N18" s="15" t="inlineStr"/>
    </row>
    <row r="19" ht="20" customHeight="1">
      <c r="A19" s="20" t="inlineStr">
        <is>
          <t>WP-016</t>
        </is>
      </c>
      <c r="B19" s="20" t="inlineStr">
        <is>
          <t>HVAC</t>
        </is>
      </c>
      <c r="C19" s="20" t="inlineStr">
        <is>
          <t>Duct Installation — Ventilation Sys A</t>
        </is>
      </c>
      <c r="D19" s="20" t="inlineStr">
        <is>
          <t>Building 1</t>
        </is>
      </c>
      <c r="E19" s="32" t="n">
        <v>46132</v>
      </c>
      <c r="F19" s="32" t="n">
        <v>46172</v>
      </c>
      <c r="G19" s="18" t="n">
        <v>0.3</v>
      </c>
      <c r="H19" s="18" t="n">
        <v>0.25</v>
      </c>
      <c r="I19" s="19">
        <f>H19-G19</f>
        <v/>
      </c>
      <c r="J19" s="20" t="n">
        <v>18</v>
      </c>
      <c r="K19" s="20">
        <f>IF(H19&gt;=1,"Completed",IF(G19=0,"Not Started",IF(H19-G19&gt;0.03,"Ahead",IF(G19-H19&gt;0.03,"Behind","On Track"))))</f>
        <v/>
      </c>
      <c r="L19" s="20">
        <f>IFERROR(XLOOKUP(B19,'Lookup Tables'!$A$6:$A$14,'Lookup Tables'!$B$6:$B$14,"TBD"),"-")</f>
        <v/>
      </c>
      <c r="M19" s="32" t="n">
        <v>46143</v>
      </c>
      <c r="N19" s="20" t="inlineStr"/>
    </row>
    <row r="20" ht="20" customHeight="1">
      <c r="A20" s="15" t="inlineStr">
        <is>
          <t>WP-017</t>
        </is>
      </c>
      <c r="B20" s="15" t="inlineStr">
        <is>
          <t>Scaffolding</t>
        </is>
      </c>
      <c r="C20" s="15" t="inlineStr">
        <is>
          <t>Erect Scaffolding — Vessel V-201</t>
        </is>
      </c>
      <c r="D20" s="15" t="inlineStr">
        <is>
          <t>Zone B</t>
        </is>
      </c>
      <c r="E20" s="31" t="n">
        <v>46113</v>
      </c>
      <c r="F20" s="31" t="n">
        <v>46127</v>
      </c>
      <c r="G20" s="13" t="n">
        <v>1</v>
      </c>
      <c r="H20" s="13" t="n">
        <v>1</v>
      </c>
      <c r="I20" s="14">
        <f>H20-G20</f>
        <v/>
      </c>
      <c r="J20" s="15" t="n">
        <v>18</v>
      </c>
      <c r="K20" s="15">
        <f>IF(H20&gt;=1,"Completed",IF(G20=0,"Not Started",IF(H20-G20&gt;0.03,"Ahead",IF(G20-H20&gt;0.03,"Behind","On Track"))))</f>
        <v/>
      </c>
      <c r="L20" s="15">
        <f>IFERROR(XLOOKUP(B20,'Lookup Tables'!$A$6:$A$14,'Lookup Tables'!$B$6:$B$14,"TBD"),"-")</f>
        <v/>
      </c>
      <c r="M20" s="31" t="n">
        <v>46143</v>
      </c>
      <c r="N20" s="15" t="inlineStr"/>
    </row>
    <row r="21" ht="20" customHeight="1">
      <c r="A21" s="20" t="inlineStr">
        <is>
          <t>WP-018</t>
        </is>
      </c>
      <c r="B21" s="20" t="inlineStr">
        <is>
          <t>Scaffolding</t>
        </is>
      </c>
      <c r="C21" s="20" t="inlineStr">
        <is>
          <t>Scaffolding Maintenance Inspection</t>
        </is>
      </c>
      <c r="D21" s="20" t="inlineStr">
        <is>
          <t>All</t>
        </is>
      </c>
      <c r="E21" s="32" t="n">
        <v>46143</v>
      </c>
      <c r="F21" s="32" t="n">
        <v>46145</v>
      </c>
      <c r="G21" s="18" t="n">
        <v>1</v>
      </c>
      <c r="H21" s="18" t="n">
        <v>1</v>
      </c>
      <c r="I21" s="19">
        <f>H21-G21</f>
        <v/>
      </c>
      <c r="J21" s="20" t="n">
        <v>18</v>
      </c>
      <c r="K21" s="20">
        <f>IF(H21&gt;=1,"Completed",IF(G21=0,"Not Started",IF(H21-G21&gt;0.03,"Ahead",IF(G21-H21&gt;0.03,"Behind","On Track"))))</f>
        <v/>
      </c>
      <c r="L21" s="20">
        <f>IFERROR(XLOOKUP(B21,'Lookup Tables'!$A$6:$A$14,'Lookup Tables'!$B$6:$B$14,"TBD"),"-")</f>
        <v/>
      </c>
      <c r="M21" s="32" t="n">
        <v>46143</v>
      </c>
      <c r="N21" s="20" t="inlineStr"/>
    </row>
    <row r="23" ht="22" customHeight="1">
      <c r="A23" s="3" t="inlineStr">
        <is>
          <t>ACTIVITY PROGRESS CHART  ·  Planned vs Actual % per Activity</t>
        </is>
      </c>
    </row>
  </sheetData>
  <autoFilter ref="A3:N3"/>
  <mergeCells count="3">
    <mergeCell ref="A23:N23"/>
    <mergeCell ref="A2:N2"/>
    <mergeCell ref="A1:N1"/>
  </mergeCells>
  <conditionalFormatting sqref="K4:K21">
    <cfRule type="expression" priority="1" dxfId="0">
      <formula>$K4="Completed"</formula>
    </cfRule>
    <cfRule type="expression" priority="2" dxfId="0">
      <formula>$K4="Ahead"</formula>
    </cfRule>
    <cfRule type="expression" priority="3" dxfId="1">
      <formula>$K4="On Track"</formula>
    </cfRule>
    <cfRule type="expression" priority="4" dxfId="2">
      <formula>$K4="Behind"</formula>
    </cfRule>
    <cfRule type="expression" priority="5" dxfId="5">
      <formula>$K4="Not Started"</formula>
    </cfRule>
  </conditionalFormatting>
  <conditionalFormatting sqref="H4:H21">
    <cfRule type="dataBar" priority="6">
      <dataBar>
        <cfvo type="num" val="0"/>
        <cfvo type="num" val="1"/>
        <color rgb="002563EB"/>
      </dataBar>
    </cfRule>
  </conditionalFormatting>
  <conditionalFormatting sqref="I4:I21">
    <cfRule type="colorScale" priority="7">
      <colorScale>
        <cfvo type="min"/>
        <cfvo type="num" val="0"/>
        <cfvo type="max"/>
        <color rgb="00FEE2E2"/>
        <color rgb="00F1F5F9"/>
        <color rgb="00DCFCE7"/>
      </colorScale>
    </cfRule>
  </conditionalFormatting>
  <dataValidations count="6">
    <dataValidation sqref="B4:B21" showDropDown="0" showInputMessage="1" showErrorMessage="1" allowBlank="1" errorTitle="Invalid Selection" error="Choose a value from the dropdown list" promptTitle="Discipline" prompt="Select from dropdown — list comes from Lookup Tables sheet" type="list">
      <formula1>'Lookup Tables'!$A$6:$A$14</formula1>
    </dataValidation>
    <dataValidation sqref="G4:G21" showDropDown="0" showInputMessage="1" showErrorMessage="1" allowBlank="1" errorTitle="Out of Range" error="Enter a decimal between 0.0 and 1.0  (e.g. 0.75 = 75%)" promptTitle="Planned %" prompt="Planned completion as decimal&#10;  0.25 = 25%&#10;  0.75 = 75%&#10;  1.00 = 100%" type="decimal" operator="between">
      <formula1>0.0</formula1>
      <formula2>1.0</formula2>
    </dataValidation>
    <dataValidation sqref="H4:H21" showDropDown="0" showInputMessage="1" showErrorMessage="1" allowBlank="1" errorTitle="Out of Range" error="Enter a decimal between 0.0 and 1.0  (e.g. 0.75 = 75%)" promptTitle="Actual %" prompt="Actual completion as decimal&#10;  0.50 = 50%&#10;  1.00 = Complete" type="decimal" operator="between">
      <formula1>0.0</formula1>
      <formula2>1.0</formula2>
    </dataValidation>
    <dataValidation sqref="J4:J21" showDropDown="0" showInputMessage="1" showErrorMessage="1" allowBlank="1" errorTitle="Invalid Number" error="Enter a whole number between 1 and 52" promptTitle="Week Number" prompt="ISO week number&#10;  Range: 1 – 52&#10;  Current: Week 18" type="whole" operator="between">
      <formula1>1</formula1>
      <formula2>52</formula2>
    </dataValidation>
    <dataValidation sqref="E4:E21" showDropDown="0" showInputMessage="1" showErrorMessage="1" allowBlank="1" errorTitle="Invalid Date" error="Enter a valid date after 01-Jan-2020 (format: DD-MMM-YY)" promptTitle="Planned Start Date" prompt="Enter planned start date&#10;  Format: DD-MMM-YY&#10;  Example: 01-Apr-26" type="date" operator="greaterThan">
      <formula1>DATE(2020,1,1)</formula1>
    </dataValidation>
    <dataValidation sqref="F4:F21" showDropDown="0" showInputMessage="1" showErrorMessage="1" allowBlank="1" errorTitle="Invalid Date" error="Enter a valid date after 01-Jan-2020 (format: DD-MMM-YY)" promptTitle="Planned Finish Date" prompt="Enter planned finish date&#10;  Must be after Planned Start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1E293B"/>
    <outlinePr summaryBelow="1" summaryRight="1"/>
    <pageSetUpPr fitToPage="1"/>
  </sheetPr>
  <dimension ref="A1:N1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50" customWidth="1" min="3" max="3"/>
    <col width="17" customWidth="1" min="4" max="4"/>
    <col width="8" customWidth="1" min="5" max="5"/>
    <col width="8" customWidth="1" min="6" max="6"/>
    <col width="12" customWidth="1" min="7" max="7"/>
    <col width="12" customWidth="1" min="8" max="8"/>
    <col width="50" customWidth="1" min="9" max="9"/>
    <col width="17" customWidth="1" min="10" max="10"/>
    <col width="14" customWidth="1" min="11" max="11"/>
    <col width="13" customWidth="1" min="12" max="12"/>
    <col width="12" customWidth="1" min="13" max="13"/>
    <col width="32" customWidth="1" min="14" max="14"/>
  </cols>
  <sheetData>
    <row r="1" ht="40" customHeight="1">
      <c r="A1" s="1" t="inlineStr">
        <is>
          <t>RISK REGISTER — Construction Project</t>
        </is>
      </c>
    </row>
    <row r="2" ht="26" customHeight="1">
      <c r="A2" s="2" t="inlineStr">
        <is>
          <t>Formula-driven: G (Score = Prob × Impact) · H (Level = IF nested) — enter only columns E and F to set risk level automatically.</t>
        </is>
      </c>
    </row>
    <row r="3" ht="36" customHeight="1">
      <c r="A3" s="11" t="inlineStr">
        <is>
          <t>Risk ID</t>
        </is>
      </c>
      <c r="B3" s="11" t="inlineStr">
        <is>
          <t>Category</t>
        </is>
      </c>
      <c r="C3" s="11" t="inlineStr">
        <is>
          <t>Risk Description</t>
        </is>
      </c>
      <c r="D3" s="11" t="inlineStr">
        <is>
          <t>Discipline</t>
        </is>
      </c>
      <c r="E3" s="11" t="inlineStr">
        <is>
          <t>Prob
(1–5)</t>
        </is>
      </c>
      <c r="F3" s="11" t="inlineStr">
        <is>
          <t>Impact
(1–5)</t>
        </is>
      </c>
      <c r="G3" s="11" t="inlineStr">
        <is>
          <t>Risk Score
=E×F</t>
        </is>
      </c>
      <c r="H3" s="11" t="inlineStr">
        <is>
          <t>Risk Level
=IF formula</t>
        </is>
      </c>
      <c r="I3" s="11" t="inlineStr">
        <is>
          <t>Mitigation Action</t>
        </is>
      </c>
      <c r="J3" s="11" t="inlineStr">
        <is>
          <t>Risk Owner</t>
        </is>
      </c>
      <c r="K3" s="11" t="inlineStr">
        <is>
          <t>Date Identified</t>
        </is>
      </c>
      <c r="L3" s="11" t="inlineStr">
        <is>
          <t>Review Date</t>
        </is>
      </c>
      <c r="M3" s="11" t="inlineStr">
        <is>
          <t>Status</t>
        </is>
      </c>
      <c r="N3" s="11" t="inlineStr">
        <is>
          <t>Comments</t>
        </is>
      </c>
    </row>
    <row r="4" ht="20" customHeight="1">
      <c r="A4" s="15" t="inlineStr">
        <is>
          <t>RSK-001</t>
        </is>
      </c>
      <c r="B4" s="22" t="inlineStr">
        <is>
          <t>Safety</t>
        </is>
      </c>
      <c r="C4" s="15" t="inlineStr">
        <is>
          <t>Working at height without valid scaffold inspection cert</t>
        </is>
      </c>
      <c r="D4" s="15" t="inlineStr">
        <is>
          <t>Scaffolding</t>
        </is>
      </c>
      <c r="E4" s="15" t="n">
        <v>4</v>
      </c>
      <c r="F4" s="15" t="n">
        <v>5</v>
      </c>
      <c r="G4" s="33">
        <f>E4*F4</f>
        <v/>
      </c>
      <c r="H4" s="15">
        <f>IF(G4=0,"-",IF(G4&gt;=15,"High",IF(G4&gt;=8,"Medium","Low")))</f>
        <v/>
      </c>
      <c r="I4" s="15" t="inlineStr">
        <is>
          <t>Weekly scaffold inspection; tag all approved access points</t>
        </is>
      </c>
      <c r="J4" s="15" t="inlineStr">
        <is>
          <t>K. Lindqvist</t>
        </is>
      </c>
      <c r="K4" s="31" t="n">
        <v>46096</v>
      </c>
      <c r="L4" s="31" t="n">
        <v>46157</v>
      </c>
      <c r="M4" s="23" t="inlineStr">
        <is>
          <t>Open</t>
        </is>
      </c>
      <c r="N4" s="15" t="inlineStr"/>
    </row>
    <row r="5" ht="20" customHeight="1">
      <c r="A5" s="20" t="inlineStr">
        <is>
          <t>RSK-002</t>
        </is>
      </c>
      <c r="B5" s="24" t="inlineStr">
        <is>
          <t>Schedule</t>
        </is>
      </c>
      <c r="C5" s="20" t="inlineStr">
        <is>
          <t>Concrete delivery delays due to road restrictions</t>
        </is>
      </c>
      <c r="D5" s="20" t="inlineStr">
        <is>
          <t>Civil</t>
        </is>
      </c>
      <c r="E5" s="20" t="n">
        <v>3</v>
      </c>
      <c r="F5" s="20" t="n">
        <v>4</v>
      </c>
      <c r="G5" s="34">
        <f>E5*F5</f>
        <v/>
      </c>
      <c r="H5" s="20">
        <f>IF(G5=0,"-",IF(G5&gt;=15,"High",IF(G5&gt;=8,"Medium","Low")))</f>
        <v/>
      </c>
      <c r="I5" s="20" t="inlineStr">
        <is>
          <t>Pre-order extra trucks; identify alternative delivery route</t>
        </is>
      </c>
      <c r="J5" s="20" t="inlineStr">
        <is>
          <t>J. Hansen</t>
        </is>
      </c>
      <c r="K5" s="32" t="n">
        <v>46101</v>
      </c>
      <c r="L5" s="32" t="n">
        <v>46152</v>
      </c>
      <c r="M5" s="23" t="inlineStr">
        <is>
          <t>Open</t>
        </is>
      </c>
      <c r="N5" s="20" t="inlineStr"/>
    </row>
    <row r="6" ht="20" customHeight="1">
      <c r="A6" s="15" t="inlineStr">
        <is>
          <t>RSK-003</t>
        </is>
      </c>
      <c r="B6" s="24" t="inlineStr">
        <is>
          <t>Quality</t>
        </is>
      </c>
      <c r="C6" s="15" t="inlineStr">
        <is>
          <t>Weld defects detected in structural steel connections</t>
        </is>
      </c>
      <c r="D6" s="15" t="inlineStr">
        <is>
          <t>Structural</t>
        </is>
      </c>
      <c r="E6" s="15" t="n">
        <v>2</v>
      </c>
      <c r="F6" s="15" t="n">
        <v>5</v>
      </c>
      <c r="G6" s="33">
        <f>E6*F6</f>
        <v/>
      </c>
      <c r="H6" s="15">
        <f>IF(G6=0,"-",IF(G6&gt;=15,"High",IF(G6&gt;=8,"Medium","Low")))</f>
        <v/>
      </c>
      <c r="I6" s="15" t="inlineStr">
        <is>
          <t>Increase NDE scope to 20%; assign dedicated QC inspector</t>
        </is>
      </c>
      <c r="J6" s="15" t="inlineStr">
        <is>
          <t>M. Berg</t>
        </is>
      </c>
      <c r="K6" s="31" t="n">
        <v>46113</v>
      </c>
      <c r="L6" s="31" t="n">
        <v>46162</v>
      </c>
      <c r="M6" s="22" t="inlineStr">
        <is>
          <t>Escalated</t>
        </is>
      </c>
      <c r="N6" s="15" t="inlineStr"/>
    </row>
    <row r="7" ht="20" customHeight="1">
      <c r="A7" s="20" t="inlineStr">
        <is>
          <t>RSK-004</t>
        </is>
      </c>
      <c r="B7" s="23" t="inlineStr">
        <is>
          <t>Technical</t>
        </is>
      </c>
      <c r="C7" s="20" t="inlineStr">
        <is>
          <t>Instrument loop testing failure — signal noise on TI-101</t>
        </is>
      </c>
      <c r="D7" s="20" t="inlineStr">
        <is>
          <t>Instrumentation</t>
        </is>
      </c>
      <c r="E7" s="20" t="n">
        <v>3</v>
      </c>
      <c r="F7" s="20" t="n">
        <v>3</v>
      </c>
      <c r="G7" s="34">
        <f>E7*F7</f>
        <v/>
      </c>
      <c r="H7" s="20">
        <f>IF(G7=0,"-",IF(G7&gt;=15,"High",IF(G7&gt;=8,"Medium","Low")))</f>
        <v/>
      </c>
      <c r="I7" s="20" t="inlineStr">
        <is>
          <t>Replace shielded cables; verify earthing configuration</t>
        </is>
      </c>
      <c r="J7" s="20" t="inlineStr">
        <is>
          <t>T. Eriksson</t>
        </is>
      </c>
      <c r="K7" s="32" t="n">
        <v>46117</v>
      </c>
      <c r="L7" s="32" t="n">
        <v>46147</v>
      </c>
      <c r="M7" s="23" t="inlineStr">
        <is>
          <t>Open</t>
        </is>
      </c>
      <c r="N7" s="20" t="inlineStr"/>
    </row>
    <row r="8" ht="20" customHeight="1">
      <c r="A8" s="15" t="inlineStr">
        <is>
          <t>RSK-005</t>
        </is>
      </c>
      <c r="B8" s="35" t="inlineStr">
        <is>
          <t>Cost</t>
        </is>
      </c>
      <c r="C8" s="15" t="inlineStr">
        <is>
          <t>Material price escalation — copper cable +18%</t>
        </is>
      </c>
      <c r="D8" s="15" t="inlineStr">
        <is>
          <t>Electrical</t>
        </is>
      </c>
      <c r="E8" s="15" t="n">
        <v>3</v>
      </c>
      <c r="F8" s="15" t="n">
        <v>3</v>
      </c>
      <c r="G8" s="33">
        <f>E8*F8</f>
        <v/>
      </c>
      <c r="H8" s="15">
        <f>IF(G8=0,"-",IF(G8&gt;=15,"High",IF(G8&gt;=8,"Medium","Low")))</f>
        <v/>
      </c>
      <c r="I8" s="15" t="inlineStr">
        <is>
          <t>Lock prices via frame agreement; evaluate alternative suppliers</t>
        </is>
      </c>
      <c r="J8" s="15" t="inlineStr">
        <is>
          <t>A. Nilsen</t>
        </is>
      </c>
      <c r="K8" s="31" t="n">
        <v>46109</v>
      </c>
      <c r="L8" s="31" t="n">
        <v>46170</v>
      </c>
      <c r="M8" s="23" t="inlineStr">
        <is>
          <t>Open</t>
        </is>
      </c>
      <c r="N8" s="15" t="inlineStr"/>
    </row>
    <row r="9" ht="20" customHeight="1">
      <c r="A9" s="20" t="inlineStr">
        <is>
          <t>RSK-006</t>
        </is>
      </c>
      <c r="B9" s="25" t="inlineStr">
        <is>
          <t>Environmental</t>
        </is>
      </c>
      <c r="C9" s="20" t="inlineStr">
        <is>
          <t>Fuel spill risk near water body — Zone C</t>
        </is>
      </c>
      <c r="D9" s="20" t="inlineStr">
        <is>
          <t>Civil</t>
        </is>
      </c>
      <c r="E9" s="20" t="n">
        <v>2</v>
      </c>
      <c r="F9" s="20" t="n">
        <v>4</v>
      </c>
      <c r="G9" s="34">
        <f>E9*F9</f>
        <v/>
      </c>
      <c r="H9" s="20">
        <f>IF(G9=0,"-",IF(G9&gt;=15,"High",IF(G9&gt;=8,"Medium","Low")))</f>
        <v/>
      </c>
      <c r="I9" s="20" t="inlineStr">
        <is>
          <t>Install secondary containment; daily environmental officer check</t>
        </is>
      </c>
      <c r="J9" s="20" t="inlineStr">
        <is>
          <t>K. Lindqvist</t>
        </is>
      </c>
      <c r="K9" s="32" t="n">
        <v>46122</v>
      </c>
      <c r="L9" s="32" t="n">
        <v>46172</v>
      </c>
      <c r="M9" s="23" t="inlineStr">
        <is>
          <t>Open</t>
        </is>
      </c>
      <c r="N9" s="20" t="inlineStr"/>
    </row>
    <row r="10" ht="20" customHeight="1">
      <c r="A10" s="15" t="inlineStr">
        <is>
          <t>RSK-007</t>
        </is>
      </c>
      <c r="B10" s="24" t="inlineStr">
        <is>
          <t>Schedule</t>
        </is>
      </c>
      <c r="C10" s="15" t="inlineStr">
        <is>
          <t>Late delivery of critical pump P-201 from vendor</t>
        </is>
      </c>
      <c r="D10" s="15" t="inlineStr">
        <is>
          <t>Mechanical</t>
        </is>
      </c>
      <c r="E10" s="15" t="n">
        <v>4</v>
      </c>
      <c r="F10" s="15" t="n">
        <v>3</v>
      </c>
      <c r="G10" s="33">
        <f>E10*F10</f>
        <v/>
      </c>
      <c r="H10" s="15">
        <f>IF(G10=0,"-",IF(G10&gt;=15,"High",IF(G10&gt;=8,"Medium","Low")))</f>
        <v/>
      </c>
      <c r="I10" s="15" t="inlineStr">
        <is>
          <t>Expedite vendor; activate contractual penalty clause if &gt;1 week</t>
        </is>
      </c>
      <c r="J10" s="15" t="inlineStr">
        <is>
          <t>A. Nilsen</t>
        </is>
      </c>
      <c r="K10" s="31" t="n">
        <v>46124</v>
      </c>
      <c r="L10" s="31" t="n">
        <v>46154</v>
      </c>
      <c r="M10" s="23" t="inlineStr">
        <is>
          <t>Open</t>
        </is>
      </c>
      <c r="N10" s="15" t="inlineStr"/>
    </row>
    <row r="11" ht="20" customHeight="1">
      <c r="A11" s="20" t="inlineStr">
        <is>
          <t>RSK-008</t>
        </is>
      </c>
      <c r="B11" s="35" t="inlineStr">
        <is>
          <t>Contractual</t>
        </is>
      </c>
      <c r="C11" s="20" t="inlineStr">
        <is>
          <t>Design change — revised P&amp;ID impacting piping route</t>
        </is>
      </c>
      <c r="D11" s="20" t="inlineStr">
        <is>
          <t>Piping</t>
        </is>
      </c>
      <c r="E11" s="20" t="n">
        <v>2</v>
      </c>
      <c r="F11" s="20" t="n">
        <v>3</v>
      </c>
      <c r="G11" s="34">
        <f>E11*F11</f>
        <v/>
      </c>
      <c r="H11" s="20">
        <f>IF(G11=0,"-",IF(G11&gt;=15,"High",IF(G11&gt;=8,"Medium","Low")))</f>
        <v/>
      </c>
      <c r="I11" s="20" t="inlineStr">
        <is>
          <t>Issue formal change request; update schedule and cost estimate</t>
        </is>
      </c>
      <c r="J11" s="20" t="inlineStr">
        <is>
          <t>S. Patel</t>
        </is>
      </c>
      <c r="K11" s="32" t="n">
        <v>46130</v>
      </c>
      <c r="L11" s="32" t="n">
        <v>46160</v>
      </c>
      <c r="M11" s="23" t="inlineStr">
        <is>
          <t>Open</t>
        </is>
      </c>
      <c r="N11" s="20" t="inlineStr"/>
    </row>
    <row r="12" ht="20" customHeight="1">
      <c r="A12" s="15" t="inlineStr">
        <is>
          <t>RSK-009</t>
        </is>
      </c>
      <c r="B12" s="22" t="inlineStr">
        <is>
          <t>Safety</t>
        </is>
      </c>
      <c r="C12" s="15" t="inlineStr">
        <is>
          <t>Subcontractor personnel without site induction</t>
        </is>
      </c>
      <c r="D12" s="15" t="inlineStr">
        <is>
          <t>All</t>
        </is>
      </c>
      <c r="E12" s="15" t="n">
        <v>2</v>
      </c>
      <c r="F12" s="15" t="n">
        <v>3</v>
      </c>
      <c r="G12" s="33">
        <f>E12*F12</f>
        <v/>
      </c>
      <c r="H12" s="15">
        <f>IF(G12=0,"-",IF(G12&gt;=15,"High",IF(G12&gt;=8,"Medium","Low")))</f>
        <v/>
      </c>
      <c r="I12" s="15" t="inlineStr">
        <is>
          <t>Gate access control + daily induction records; revoke access on breach</t>
        </is>
      </c>
      <c r="J12" s="15" t="inlineStr">
        <is>
          <t>L. Andersen</t>
        </is>
      </c>
      <c r="K12" s="31" t="n">
        <v>46132</v>
      </c>
      <c r="L12" s="31" t="n">
        <v>46174</v>
      </c>
      <c r="M12" s="23" t="inlineStr">
        <is>
          <t>Mitigated</t>
        </is>
      </c>
      <c r="N12" s="15" t="inlineStr"/>
    </row>
    <row r="13" ht="20" customHeight="1">
      <c r="A13" s="20" t="inlineStr">
        <is>
          <t>RSK-010</t>
        </is>
      </c>
      <c r="B13" s="23" t="inlineStr">
        <is>
          <t>Technical</t>
        </is>
      </c>
      <c r="C13" s="20" t="inlineStr">
        <is>
          <t>Fire suppression system pressure test failure</t>
        </is>
      </c>
      <c r="D13" s="20" t="inlineStr">
        <is>
          <t>Mechanical</t>
        </is>
      </c>
      <c r="E13" s="20" t="n">
        <v>1</v>
      </c>
      <c r="F13" s="20" t="n">
        <v>4</v>
      </c>
      <c r="G13" s="34">
        <f>E13*F13</f>
        <v/>
      </c>
      <c r="H13" s="20">
        <f>IF(G13=0,"-",IF(G13&gt;=15,"High",IF(G13&gt;=8,"Medium","Low")))</f>
        <v/>
      </c>
      <c r="I13" s="20" t="inlineStr">
        <is>
          <t>Pre-test with water; specialist commissioning team on standby</t>
        </is>
      </c>
      <c r="J13" s="20" t="inlineStr">
        <is>
          <t>A. Nilsen</t>
        </is>
      </c>
      <c r="K13" s="32" t="n">
        <v>46134</v>
      </c>
      <c r="L13" s="32" t="n">
        <v>46188</v>
      </c>
      <c r="M13" s="23" t="inlineStr">
        <is>
          <t>Open</t>
        </is>
      </c>
      <c r="N13" s="20" t="inlineStr"/>
    </row>
    <row r="14" ht="20" customHeight="1">
      <c r="A14" s="15" t="inlineStr">
        <is>
          <t>RSK-011</t>
        </is>
      </c>
      <c r="B14" s="24" t="inlineStr">
        <is>
          <t>Quality</t>
        </is>
      </c>
      <c r="C14" s="15" t="inlineStr">
        <is>
          <t>Painting rework due to humidity beyond 85% spec</t>
        </is>
      </c>
      <c r="D14" s="15" t="inlineStr">
        <is>
          <t>Structural</t>
        </is>
      </c>
      <c r="E14" s="15" t="n">
        <v>2</v>
      </c>
      <c r="F14" s="15" t="n">
        <v>2</v>
      </c>
      <c r="G14" s="33">
        <f>E14*F14</f>
        <v/>
      </c>
      <c r="H14" s="15">
        <f>IF(G14=0,"-",IF(G14&gt;=15,"High",IF(G14&gt;=8,"Medium","Low")))</f>
        <v/>
      </c>
      <c r="I14" s="15" t="inlineStr">
        <is>
          <t>Monitor humidity; restrict painting to approved windows only</t>
        </is>
      </c>
      <c r="J14" s="15" t="inlineStr">
        <is>
          <t>M. Berg</t>
        </is>
      </c>
      <c r="K14" s="31" t="n">
        <v>46127</v>
      </c>
      <c r="L14" s="31" t="n">
        <v>46157</v>
      </c>
      <c r="M14" s="23" t="inlineStr">
        <is>
          <t>Mitigated</t>
        </is>
      </c>
      <c r="N14" s="15" t="inlineStr"/>
    </row>
    <row r="15" ht="20" customHeight="1">
      <c r="A15" s="20" t="inlineStr">
        <is>
          <t>RSK-012</t>
        </is>
      </c>
      <c r="B15" s="24" t="inlineStr">
        <is>
          <t>Schedule</t>
        </is>
      </c>
      <c r="C15" s="20" t="inlineStr">
        <is>
          <t>Permit delays for HV cable route crossing</t>
        </is>
      </c>
      <c r="D15" s="20" t="inlineStr">
        <is>
          <t>Electrical</t>
        </is>
      </c>
      <c r="E15" s="20" t="n">
        <v>1</v>
      </c>
      <c r="F15" s="20" t="n">
        <v>2</v>
      </c>
      <c r="G15" s="34">
        <f>E15*F15</f>
        <v/>
      </c>
      <c r="H15" s="20">
        <f>IF(G15=0,"-",IF(G15&gt;=15,"High",IF(G15&gt;=8,"Medium","Low")))</f>
        <v/>
      </c>
      <c r="I15" s="20" t="inlineStr">
        <is>
          <t>Engage authority early; submit permit 4 weeks in advance</t>
        </is>
      </c>
      <c r="J15" s="20" t="inlineStr">
        <is>
          <t>M. Berg</t>
        </is>
      </c>
      <c r="K15" s="32" t="n">
        <v>46137</v>
      </c>
      <c r="L15" s="32" t="n">
        <v>46174</v>
      </c>
      <c r="M15" s="25" t="inlineStr">
        <is>
          <t>Closed</t>
        </is>
      </c>
      <c r="N15" s="20" t="inlineStr"/>
    </row>
    <row r="16" ht="20" customHeight="1">
      <c r="A16" s="15" t="inlineStr">
        <is>
          <t>RSK-013</t>
        </is>
      </c>
      <c r="B16" s="35" t="inlineStr">
        <is>
          <t>Cost</t>
        </is>
      </c>
      <c r="C16" s="15" t="inlineStr">
        <is>
          <t>Scaffolding overhire duration beyond contract</t>
        </is>
      </c>
      <c r="D16" s="15" t="inlineStr">
        <is>
          <t>Scaffolding</t>
        </is>
      </c>
      <c r="E16" s="15" t="n">
        <v>1</v>
      </c>
      <c r="F16" s="15" t="n">
        <v>2</v>
      </c>
      <c r="G16" s="33">
        <f>E16*F16</f>
        <v/>
      </c>
      <c r="H16" s="15">
        <f>IF(G16=0,"-",IF(G16&gt;=15,"High",IF(G16&gt;=8,"Medium","Low")))</f>
        <v/>
      </c>
      <c r="I16" s="15" t="inlineStr">
        <is>
          <t>Weekly utilisation review; demobilise when work front closes</t>
        </is>
      </c>
      <c r="J16" s="15" t="inlineStr">
        <is>
          <t>R. Kowalski</t>
        </is>
      </c>
      <c r="K16" s="31" t="n">
        <v>46091</v>
      </c>
      <c r="L16" s="31" t="n">
        <v>46143</v>
      </c>
      <c r="M16" s="25" t="inlineStr">
        <is>
          <t>Closed</t>
        </is>
      </c>
      <c r="N16" s="15" t="inlineStr"/>
    </row>
    <row r="17" ht="20" customHeight="1">
      <c r="A17" s="20" t="inlineStr">
        <is>
          <t>RSK-014</t>
        </is>
      </c>
      <c r="B17" s="23" t="inlineStr">
        <is>
          <t>Technical</t>
        </is>
      </c>
      <c r="C17" s="20" t="inlineStr">
        <is>
          <t>HVAC unit dimension mismatch with building opening</t>
        </is>
      </c>
      <c r="D17" s="20" t="inlineStr">
        <is>
          <t>HVAC</t>
        </is>
      </c>
      <c r="E17" s="20" t="n">
        <v>1</v>
      </c>
      <c r="F17" s="20" t="n">
        <v>3</v>
      </c>
      <c r="G17" s="34">
        <f>E17*F17</f>
        <v/>
      </c>
      <c r="H17" s="20">
        <f>IF(G17=0,"-",IF(G17&gt;=15,"High",IF(G17&gt;=8,"Medium","Low")))</f>
        <v/>
      </c>
      <c r="I17" s="20" t="inlineStr">
        <is>
          <t>Review shop drawings vs. site measurement before delivery</t>
        </is>
      </c>
      <c r="J17" s="20" t="inlineStr">
        <is>
          <t>L. Andersen</t>
        </is>
      </c>
      <c r="K17" s="32" t="n">
        <v>46140</v>
      </c>
      <c r="L17" s="32" t="n">
        <v>46170</v>
      </c>
      <c r="M17" s="23" t="inlineStr">
        <is>
          <t>Open</t>
        </is>
      </c>
      <c r="N17" s="20" t="inlineStr"/>
    </row>
    <row r="18" ht="20" customHeight="1">
      <c r="A18" s="15" t="inlineStr">
        <is>
          <t>RSK-015</t>
        </is>
      </c>
      <c r="B18" s="25" t="inlineStr">
        <is>
          <t>Environmental</t>
        </is>
      </c>
      <c r="C18" s="15" t="inlineStr">
        <is>
          <t>Noise complaint from community during night work</t>
        </is>
      </c>
      <c r="D18" s="15" t="inlineStr">
        <is>
          <t>Civil</t>
        </is>
      </c>
      <c r="E18" s="15" t="n">
        <v>1</v>
      </c>
      <c r="F18" s="15" t="n">
        <v>2</v>
      </c>
      <c r="G18" s="33">
        <f>E18*F18</f>
        <v/>
      </c>
      <c r="H18" s="15">
        <f>IF(G18=0,"-",IF(G18&gt;=15,"High",IF(G18&gt;=8,"Medium","Low")))</f>
        <v/>
      </c>
      <c r="I18" s="15" t="inlineStr">
        <is>
          <t>Restrict noisy ops 07:00–22:00; notify community in advance</t>
        </is>
      </c>
      <c r="J18" s="15" t="inlineStr">
        <is>
          <t>K. Lindqvist</t>
        </is>
      </c>
      <c r="K18" s="31" t="n">
        <v>46142</v>
      </c>
      <c r="L18" s="31" t="n">
        <v>46174</v>
      </c>
      <c r="M18" s="23" t="inlineStr">
        <is>
          <t>Open</t>
        </is>
      </c>
      <c r="N18" s="15" t="inlineStr"/>
    </row>
  </sheetData>
  <autoFilter ref="A3:N3"/>
  <mergeCells count="2">
    <mergeCell ref="A2:N2"/>
    <mergeCell ref="A1:N1"/>
  </mergeCells>
  <conditionalFormatting sqref="G4:G18">
    <cfRule type="colorScale" priority="1">
      <colorScale>
        <cfvo type="num" val="1"/>
        <cfvo type="num" val="9"/>
        <cfvo type="num" val="20"/>
        <color rgb="00DCFCE7"/>
        <color rgb="00FEF3C7"/>
        <color rgb="00FEE2E2"/>
      </colorScale>
    </cfRule>
  </conditionalFormatting>
  <conditionalFormatting sqref="H4:H18">
    <cfRule type="expression" priority="2" dxfId="6">
      <formula>$H4="High"</formula>
    </cfRule>
    <cfRule type="expression" priority="3" dxfId="2">
      <formula>$H4="Medium"</formula>
    </cfRule>
    <cfRule type="expression" priority="4" dxfId="0">
      <formula>$H4="Low"</formula>
    </cfRule>
  </conditionalFormatting>
  <conditionalFormatting sqref="M4:M18">
    <cfRule type="expression" priority="5" dxfId="1">
      <formula>$M4="Open"</formula>
    </cfRule>
    <cfRule type="expression" priority="6" dxfId="1">
      <formula>$M4="Mitigated"</formula>
    </cfRule>
    <cfRule type="expression" priority="7" dxfId="0">
      <formula>$M4="Closed"</formula>
    </cfRule>
    <cfRule type="expression" priority="8" dxfId="6">
      <formula>$M4="Escalated"</formula>
    </cfRule>
  </conditionalFormatting>
  <dataValidations count="6">
    <dataValidation sqref="E4:E18" showDropDown="0" showInputMessage="1" showErrorMessage="1" allowBlank="1" errorTitle="Invalid Number" error="Enter a whole number between 1 and 5" promptTitle="Probability  (1 – 5)" prompt="How likely is this risk to occur?&#10;  1 = Rare         (&lt; 5% chance)&#10;  2 = Unlikely     (5–20%)&#10;  3 = Possible     (20–50%)&#10;  4 = Likely       (50–80%)&#10;  5 = Almost Certain (&gt; 80%)" type="whole" operator="between">
      <formula1>1</formula1>
      <formula2>5</formula2>
    </dataValidation>
    <dataValidation sqref="F4:F18" showDropDown="0" showInputMessage="1" showErrorMessage="1" allowBlank="1" errorTitle="Invalid Number" error="Enter a whole number between 1 and 5" promptTitle="Impact  (1 – 5)" prompt="How severe is the impact if this risk occurs?&#10;  1 = Negligible  (minor inconvenience)&#10;  2 = Minor       (small delay / cost)&#10;  3 = Moderate    (1–2 week delay)&#10;  4 = Significant (&gt;2 week delay)&#10;  5 = Critical    (project stoppage)" type="whole" operator="between">
      <formula1>1</formula1>
      <formula2>5</formula2>
    </dataValidation>
    <dataValidation sqref="D4:D18" showDropDown="0" showInputMessage="1" showErrorMessage="1" allowBlank="1" errorTitle="Invalid Selection" error="Choose a value from the dropdown list" promptTitle="Discipline" prompt="Select affected discipline from dropdown" type="list">
      <formula1>'Lookup Tables'!$A$6:$A$14</formula1>
    </dataValidation>
    <dataValidation sqref="M4:M18" showDropDown="0" showInputMessage="1" showErrorMessage="1" allowBlank="1" errorTitle="Invalid Selection" error="Choose a value from the dropdown list" promptTitle="Status" prompt="Open / Mitigated / Closed / Escalated" type="list">
      <formula1>"Open,Mitigated,Closed,Escalated"</formula1>
    </dataValidation>
    <dataValidation sqref="K4:K18" showDropDown="0" showInputMessage="1" showErrorMessage="1" allowBlank="1" errorTitle="Invalid Date" error="Enter a valid date after 01-Jan-2020 (format: DD-MMM-YY)" promptTitle="Date Identified" prompt="Date risk was formally identified&#10;  Format: DD-MMM-YY" type="date" operator="greaterThan">
      <formula1>DATE(2020,1,1)</formula1>
    </dataValidation>
    <dataValidation sqref="L4:L18" showDropDown="0" showInputMessage="1" showErrorMessage="1" allowBlank="1" errorTitle="Invalid Date" error="Enter a valid date after 01-Jan-2020 (format: DD-MMM-YY)" promptTitle="Review Date" prompt="Next scheduled review date&#10;  Update at least weekly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E293B"/>
    <outlinePr summaryBelow="1" summaryRight="1"/>
    <pageSetUpPr fitToPage="1"/>
  </sheetPr>
  <dimension ref="A1:N2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54" customWidth="1" min="4" max="4"/>
    <col width="17" customWidth="1" min="5" max="5"/>
    <col width="17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5" customWidth="1" min="12" max="12"/>
    <col width="30" customWidth="1" min="13" max="13"/>
    <col width="13" customWidth="1" min="14" max="14"/>
  </cols>
  <sheetData>
    <row r="1" ht="40" customHeight="1">
      <c r="A1" s="1" t="inlineStr">
        <is>
          <t>ACTION ITEM LOG — Site Coordination Meetings</t>
        </is>
      </c>
    </row>
    <row r="2" ht="26" customHeight="1">
      <c r="A2" s="2" t="inlineStr">
        <is>
          <t>F (Responsible) = VLOOKUP · N (Days Overdue) = IF(AND(≠Closed, TODAY()&gt;DueDate), TODAY()−DueDate, "") · Status/Priority use dropdown validation</t>
        </is>
      </c>
    </row>
    <row r="3" ht="36" customHeight="1">
      <c r="A3" s="11" t="inlineStr">
        <is>
          <t>Action ID</t>
        </is>
      </c>
      <c r="B3" s="11" t="inlineStr">
        <is>
          <t>Source / Meeting</t>
        </is>
      </c>
      <c r="C3" s="11" t="inlineStr">
        <is>
          <t>Date Raised</t>
        </is>
      </c>
      <c r="D3" s="11" t="inlineStr">
        <is>
          <t>Action Description</t>
        </is>
      </c>
      <c r="E3" s="11" t="inlineStr">
        <is>
          <t>Discipline</t>
        </is>
      </c>
      <c r="F3" s="11" t="inlineStr">
        <is>
          <t>Responsible
=VLOOKUP</t>
        </is>
      </c>
      <c r="G3" s="11" t="inlineStr">
        <is>
          <t>Due Date</t>
        </is>
      </c>
      <c r="H3" s="11" t="inlineStr">
        <is>
          <t>Priority</t>
        </is>
      </c>
      <c r="I3" s="11" t="inlineStr">
        <is>
          <t>Status</t>
        </is>
      </c>
      <c r="J3" s="11" t="inlineStr">
        <is>
          <t>% Done</t>
        </is>
      </c>
      <c r="K3" s="11" t="inlineStr">
        <is>
          <t>Date Closed</t>
        </is>
      </c>
      <c r="L3" s="11" t="inlineStr">
        <is>
          <t>Verified By</t>
        </is>
      </c>
      <c r="M3" s="11" t="inlineStr">
        <is>
          <t>Comments</t>
        </is>
      </c>
      <c r="N3" s="11" t="inlineStr">
        <is>
          <t>Days Overdue
=IF/TODAY()</t>
        </is>
      </c>
    </row>
    <row r="4" ht="20" customHeight="1">
      <c r="A4" s="15" t="inlineStr">
        <is>
          <t>ACT-001</t>
        </is>
      </c>
      <c r="B4" s="15" t="inlineStr">
        <is>
          <t>Site Coord W17</t>
        </is>
      </c>
      <c r="C4" s="31" t="n">
        <v>46136</v>
      </c>
      <c r="D4" s="15" t="inlineStr">
        <is>
          <t>Resolve concrete pour access conflict — Civil vs Piping Zone B</t>
        </is>
      </c>
      <c r="E4" s="15" t="inlineStr">
        <is>
          <t>Civil</t>
        </is>
      </c>
      <c r="F4" s="15">
        <f>IFERROR(VLOOKUP(E4,'Lookup Tables'!$A$6:$B$14,2,0),"-")</f>
        <v/>
      </c>
      <c r="G4" s="31" t="n">
        <v>46140</v>
      </c>
      <c r="H4" s="22" t="inlineStr">
        <is>
          <t>High</t>
        </is>
      </c>
      <c r="I4" s="25" t="inlineStr">
        <is>
          <t>Closed</t>
        </is>
      </c>
      <c r="J4" s="13" t="n">
        <v>1</v>
      </c>
      <c r="K4" s="31" t="n">
        <v>46139</v>
      </c>
      <c r="L4" s="15" t="inlineStr">
        <is>
          <t>M. Berg</t>
        </is>
      </c>
      <c r="M4" s="15" t="inlineStr"/>
      <c r="N4" s="36">
        <f>IF(AND(I4&lt;&gt;"Closed",I4&lt;&gt;"On Hold",ISNUMBER(G4),TODAY()&gt;G4),TODAY()-G4,"")</f>
        <v/>
      </c>
    </row>
    <row r="5" ht="20" customHeight="1">
      <c r="A5" s="20" t="inlineStr">
        <is>
          <t>ACT-002</t>
        </is>
      </c>
      <c r="B5" s="20" t="inlineStr">
        <is>
          <t>Daily Standup W18</t>
        </is>
      </c>
      <c r="C5" s="32" t="n">
        <v>46139</v>
      </c>
      <c r="D5" s="20" t="inlineStr">
        <is>
          <t>Submit updated cable installation schedule for approval by Project Engineer</t>
        </is>
      </c>
      <c r="E5" s="20" t="inlineStr">
        <is>
          <t>Electrical</t>
        </is>
      </c>
      <c r="F5" s="20">
        <f>IFERROR(VLOOKUP(E5,'Lookup Tables'!$A$6:$B$14,2,0),"-")</f>
        <v/>
      </c>
      <c r="G5" s="32" t="n">
        <v>46142</v>
      </c>
      <c r="H5" s="22" t="inlineStr">
        <is>
          <t>High</t>
        </is>
      </c>
      <c r="I5" s="25" t="inlineStr">
        <is>
          <t>Closed</t>
        </is>
      </c>
      <c r="J5" s="18" t="n">
        <v>1</v>
      </c>
      <c r="K5" s="32" t="n">
        <v>46141</v>
      </c>
      <c r="L5" s="20" t="inlineStr">
        <is>
          <t>T. Eriksson</t>
        </is>
      </c>
      <c r="M5" s="20" t="inlineStr"/>
      <c r="N5" s="37">
        <f>IF(AND(I5&lt;&gt;"Closed",I5&lt;&gt;"On Hold",ISNUMBER(G5),TODAY()&gt;G5),TODAY()-G5,"")</f>
        <v/>
      </c>
    </row>
    <row r="6" ht="20" customHeight="1">
      <c r="A6" s="15" t="inlineStr">
        <is>
          <t>ACT-003</t>
        </is>
      </c>
      <c r="B6" s="15" t="inlineStr">
        <is>
          <t>Quality Mtg W17</t>
        </is>
      </c>
      <c r="C6" s="31" t="n">
        <v>46136</v>
      </c>
      <c r="D6" s="15" t="inlineStr">
        <is>
          <t>Issue corrective action for weld rejection — NCR-007 structural connections</t>
        </is>
      </c>
      <c r="E6" s="15" t="inlineStr">
        <is>
          <t>Structural</t>
        </is>
      </c>
      <c r="F6" s="15">
        <f>IFERROR(VLOOKUP(E6,'Lookup Tables'!$A$6:$B$14,2,0),"-")</f>
        <v/>
      </c>
      <c r="G6" s="31" t="n">
        <v>46144</v>
      </c>
      <c r="H6" s="22" t="inlineStr">
        <is>
          <t>Critical</t>
        </is>
      </c>
      <c r="I6" s="24" t="inlineStr">
        <is>
          <t>In Progress</t>
        </is>
      </c>
      <c r="J6" s="13" t="n">
        <v>0.6</v>
      </c>
      <c r="K6" s="15" t="n"/>
      <c r="L6" s="15" t="inlineStr"/>
      <c r="M6" s="15" t="inlineStr"/>
      <c r="N6" s="36">
        <f>IF(AND(I6&lt;&gt;"Closed",I6&lt;&gt;"On Hold",ISNUMBER(G6),TODAY()&gt;G6),TODAY()-G6,"")</f>
        <v/>
      </c>
    </row>
    <row r="7" ht="20" customHeight="1">
      <c r="A7" s="20" t="inlineStr">
        <is>
          <t>ACT-004</t>
        </is>
      </c>
      <c r="B7" s="20" t="inlineStr">
        <is>
          <t>Site Coord W18</t>
        </is>
      </c>
      <c r="C7" s="32" t="n">
        <v>46143</v>
      </c>
      <c r="D7" s="20" t="inlineStr">
        <is>
          <t>Update risk register with new schedule risks from vendor delays</t>
        </is>
      </c>
      <c r="E7" s="20" t="inlineStr">
        <is>
          <t>All</t>
        </is>
      </c>
      <c r="F7" s="20">
        <f>IFERROR(VLOOKUP(E7,'Lookup Tables'!$A$6:$B$14,2,0),"-")</f>
        <v/>
      </c>
      <c r="G7" s="32" t="n">
        <v>46147</v>
      </c>
      <c r="H7" s="24" t="inlineStr">
        <is>
          <t>Medium</t>
        </is>
      </c>
      <c r="I7" s="23" t="inlineStr">
        <is>
          <t>Open</t>
        </is>
      </c>
      <c r="J7" s="18" t="n">
        <v>0</v>
      </c>
      <c r="K7" s="20" t="n"/>
      <c r="L7" s="20" t="inlineStr"/>
      <c r="M7" s="20" t="inlineStr"/>
      <c r="N7" s="37">
        <f>IF(AND(I7&lt;&gt;"Closed",I7&lt;&gt;"On Hold",ISNUMBER(G7),TODAY()&gt;G7),TODAY()-G7,"")</f>
        <v/>
      </c>
    </row>
    <row r="8" ht="20" customHeight="1">
      <c r="A8" s="15" t="inlineStr">
        <is>
          <t>ACT-005</t>
        </is>
      </c>
      <c r="B8" s="15" t="inlineStr">
        <is>
          <t>Client Mtg W17</t>
        </is>
      </c>
      <c r="C8" s="31" t="n">
        <v>46135</v>
      </c>
      <c r="D8" s="15" t="inlineStr">
        <is>
          <t>Prepare monthly progress report for Client review — May 2026</t>
        </is>
      </c>
      <c r="E8" s="15" t="inlineStr">
        <is>
          <t>All</t>
        </is>
      </c>
      <c r="F8" s="15">
        <f>IFERROR(VLOOKUP(E8,'Lookup Tables'!$A$6:$B$14,2,0),"-")</f>
        <v/>
      </c>
      <c r="G8" s="31" t="n">
        <v>46149</v>
      </c>
      <c r="H8" s="22" t="inlineStr">
        <is>
          <t>High</t>
        </is>
      </c>
      <c r="I8" s="23" t="inlineStr">
        <is>
          <t>Open</t>
        </is>
      </c>
      <c r="J8" s="13" t="n">
        <v>0</v>
      </c>
      <c r="K8" s="15" t="n"/>
      <c r="L8" s="15" t="inlineStr"/>
      <c r="M8" s="15" t="inlineStr"/>
      <c r="N8" s="36">
        <f>IF(AND(I8&lt;&gt;"Closed",I8&lt;&gt;"On Hold",ISNUMBER(G8),TODAY()&gt;G8),TODAY()-G8,"")</f>
        <v/>
      </c>
    </row>
    <row r="9" ht="20" customHeight="1">
      <c r="A9" s="20" t="inlineStr">
        <is>
          <t>ACT-006</t>
        </is>
      </c>
      <c r="B9" s="20" t="inlineStr">
        <is>
          <t>Daily Standup W18</t>
        </is>
      </c>
      <c r="C9" s="32" t="n">
        <v>46140</v>
      </c>
      <c r="D9" s="20" t="inlineStr">
        <is>
          <t>Calibrate pressure gauges before hydrostatic test — Piping Line P-102</t>
        </is>
      </c>
      <c r="E9" s="20" t="inlineStr">
        <is>
          <t>Piping</t>
        </is>
      </c>
      <c r="F9" s="20">
        <f>IFERROR(VLOOKUP(E9,'Lookup Tables'!$A$6:$B$14,2,0),"-")</f>
        <v/>
      </c>
      <c r="G9" s="32" t="n">
        <v>46142</v>
      </c>
      <c r="H9" s="22" t="inlineStr">
        <is>
          <t>High</t>
        </is>
      </c>
      <c r="I9" s="25" t="inlineStr">
        <is>
          <t>Closed</t>
        </is>
      </c>
      <c r="J9" s="18" t="n">
        <v>1</v>
      </c>
      <c r="K9" s="32" t="n">
        <v>46142</v>
      </c>
      <c r="L9" s="20" t="inlineStr">
        <is>
          <t>A. Nilsen</t>
        </is>
      </c>
      <c r="M9" s="20" t="inlineStr"/>
      <c r="N9" s="37">
        <f>IF(AND(I9&lt;&gt;"Closed",I9&lt;&gt;"On Hold",ISNUMBER(G9),TODAY()&gt;G9),TODAY()-G9,"")</f>
        <v/>
      </c>
    </row>
    <row r="10" ht="20" customHeight="1">
      <c r="A10" s="15" t="inlineStr">
        <is>
          <t>ACT-007</t>
        </is>
      </c>
      <c r="B10" s="15" t="inlineStr">
        <is>
          <t>Safety Mtg W18</t>
        </is>
      </c>
      <c r="C10" s="31" t="n">
        <v>46141</v>
      </c>
      <c r="D10" s="15" t="inlineStr">
        <is>
          <t>Conduct emergency evacuation drill before end of May</t>
        </is>
      </c>
      <c r="E10" s="15" t="inlineStr">
        <is>
          <t>All</t>
        </is>
      </c>
      <c r="F10" s="15">
        <f>IFERROR(VLOOKUP(E10,'Lookup Tables'!$A$6:$B$14,2,0),"-")</f>
        <v/>
      </c>
      <c r="G10" s="31" t="n">
        <v>46162</v>
      </c>
      <c r="H10" s="24" t="inlineStr">
        <is>
          <t>Medium</t>
        </is>
      </c>
      <c r="I10" s="23" t="inlineStr">
        <is>
          <t>Open</t>
        </is>
      </c>
      <c r="J10" s="13" t="n">
        <v>0</v>
      </c>
      <c r="K10" s="15" t="n"/>
      <c r="L10" s="15" t="inlineStr">
        <is>
          <t>Coordinate HSE</t>
        </is>
      </c>
      <c r="M10" s="15" t="inlineStr"/>
      <c r="N10" s="36">
        <f>IF(AND(I10&lt;&gt;"Closed",I10&lt;&gt;"On Hold",ISNUMBER(G10),TODAY()&gt;G10),TODAY()-G10,"")</f>
        <v/>
      </c>
    </row>
    <row r="11" ht="20" customHeight="1">
      <c r="A11" s="20" t="inlineStr">
        <is>
          <t>ACT-008</t>
        </is>
      </c>
      <c r="B11" s="20" t="inlineStr">
        <is>
          <t>Quality Mtg W18</t>
        </is>
      </c>
      <c r="C11" s="32" t="n">
        <v>46142</v>
      </c>
      <c r="D11" s="20" t="inlineStr">
        <is>
          <t>Review and close outstanding punchlist items — Structural Level 1</t>
        </is>
      </c>
      <c r="E11" s="20" t="inlineStr">
        <is>
          <t>Structural</t>
        </is>
      </c>
      <c r="F11" s="20">
        <f>IFERROR(VLOOKUP(E11,'Lookup Tables'!$A$6:$B$14,2,0),"-")</f>
        <v/>
      </c>
      <c r="G11" s="32" t="n">
        <v>46151</v>
      </c>
      <c r="H11" s="24" t="inlineStr">
        <is>
          <t>Medium</t>
        </is>
      </c>
      <c r="I11" s="24" t="inlineStr">
        <is>
          <t>In Progress</t>
        </is>
      </c>
      <c r="J11" s="18" t="n">
        <v>0.3</v>
      </c>
      <c r="K11" s="20" t="n"/>
      <c r="L11" s="20" t="inlineStr"/>
      <c r="M11" s="20" t="inlineStr"/>
      <c r="N11" s="37">
        <f>IF(AND(I11&lt;&gt;"Closed",I11&lt;&gt;"On Hold",ISNUMBER(G11),TODAY()&gt;G11),TODAY()-G11,"")</f>
        <v/>
      </c>
    </row>
    <row r="12" ht="20" customHeight="1">
      <c r="A12" s="15" t="inlineStr">
        <is>
          <t>ACT-009</t>
        </is>
      </c>
      <c r="B12" s="15" t="inlineStr">
        <is>
          <t>Site Coord W18</t>
        </is>
      </c>
      <c r="C12" s="31" t="n">
        <v>46143</v>
      </c>
      <c r="D12" s="15" t="inlineStr">
        <is>
          <t>Confirm HVAC unit dimensions match building opening before delivery</t>
        </is>
      </c>
      <c r="E12" s="15" t="inlineStr">
        <is>
          <t>HVAC</t>
        </is>
      </c>
      <c r="F12" s="15">
        <f>IFERROR(VLOOKUP(E12,'Lookup Tables'!$A$6:$B$14,2,0),"-")</f>
        <v/>
      </c>
      <c r="G12" s="31" t="n">
        <v>46150</v>
      </c>
      <c r="H12" s="22" t="inlineStr">
        <is>
          <t>High</t>
        </is>
      </c>
      <c r="I12" s="23" t="inlineStr">
        <is>
          <t>Open</t>
        </is>
      </c>
      <c r="J12" s="13" t="n">
        <v>0</v>
      </c>
      <c r="K12" s="15" t="n"/>
      <c r="L12" s="15" t="inlineStr"/>
      <c r="M12" s="15" t="inlineStr"/>
      <c r="N12" s="36">
        <f>IF(AND(I12&lt;&gt;"Closed",I12&lt;&gt;"On Hold",ISNUMBER(G12),TODAY()&gt;G12),TODAY()-G12,"")</f>
        <v/>
      </c>
    </row>
    <row r="13" ht="20" customHeight="1">
      <c r="A13" s="20" t="inlineStr">
        <is>
          <t>ACT-010</t>
        </is>
      </c>
      <c r="B13" s="20" t="inlineStr">
        <is>
          <t>Client Mtg W17</t>
        </is>
      </c>
      <c r="C13" s="32" t="n">
        <v>46135</v>
      </c>
      <c r="D13" s="20" t="inlineStr">
        <is>
          <t>Issue revised programme baseline incorporating scope change SCR-012</t>
        </is>
      </c>
      <c r="E13" s="20" t="inlineStr">
        <is>
          <t>All</t>
        </is>
      </c>
      <c r="F13" s="20">
        <f>IFERROR(VLOOKUP(E13,'Lookup Tables'!$A$6:$B$14,2,0),"-")</f>
        <v/>
      </c>
      <c r="G13" s="32" t="n">
        <v>46145</v>
      </c>
      <c r="H13" s="22" t="inlineStr">
        <is>
          <t>Critical</t>
        </is>
      </c>
      <c r="I13" s="22" t="inlineStr">
        <is>
          <t>Overdue</t>
        </is>
      </c>
      <c r="J13" s="18" t="n">
        <v>0.8</v>
      </c>
      <c r="K13" s="20" t="n"/>
      <c r="L13" s="20" t="inlineStr">
        <is>
          <t>Awaiting design</t>
        </is>
      </c>
      <c r="M13" s="20" t="inlineStr"/>
      <c r="N13" s="37">
        <f>IF(AND(I13&lt;&gt;"Closed",I13&lt;&gt;"On Hold",ISNUMBER(G13),TODAY()&gt;G13),TODAY()-G13,"")</f>
        <v/>
      </c>
    </row>
    <row r="14" ht="20" customHeight="1">
      <c r="A14" s="15" t="inlineStr">
        <is>
          <t>ACT-011</t>
        </is>
      </c>
      <c r="B14" s="15" t="inlineStr">
        <is>
          <t>Daily Standup W19</t>
        </is>
      </c>
      <c r="C14" s="31" t="n">
        <v>46146</v>
      </c>
      <c r="D14" s="15" t="inlineStr">
        <is>
          <t>Update SharePoint tracker — weekly discipline progress inputs for W19</t>
        </is>
      </c>
      <c r="E14" s="15" t="inlineStr">
        <is>
          <t>All</t>
        </is>
      </c>
      <c r="F14" s="15">
        <f>IFERROR(VLOOKUP(E14,'Lookup Tables'!$A$6:$B$14,2,0),"-")</f>
        <v/>
      </c>
      <c r="G14" s="31" t="n">
        <v>46148</v>
      </c>
      <c r="H14" s="24" t="inlineStr">
        <is>
          <t>Medium</t>
        </is>
      </c>
      <c r="I14" s="23" t="inlineStr">
        <is>
          <t>Open</t>
        </is>
      </c>
      <c r="J14" s="13" t="n">
        <v>0</v>
      </c>
      <c r="K14" s="15" t="n"/>
      <c r="L14" s="15" t="inlineStr"/>
      <c r="M14" s="15" t="inlineStr"/>
      <c r="N14" s="36">
        <f>IF(AND(I14&lt;&gt;"Closed",I14&lt;&gt;"On Hold",ISNUMBER(G14),TODAY()&gt;G14),TODAY()-G14,"")</f>
        <v/>
      </c>
    </row>
    <row r="15" ht="20" customHeight="1">
      <c r="A15" s="20" t="inlineStr">
        <is>
          <t>ACT-012</t>
        </is>
      </c>
      <c r="B15" s="20" t="inlineStr">
        <is>
          <t>Safety Mtg W17</t>
        </is>
      </c>
      <c r="C15" s="32" t="n">
        <v>46134</v>
      </c>
      <c r="D15" s="20" t="inlineStr">
        <is>
          <t>Replace damaged scaffolding clips — Tag Red Zone 4 out of service immediately</t>
        </is>
      </c>
      <c r="E15" s="20" t="inlineStr">
        <is>
          <t>Scaffolding</t>
        </is>
      </c>
      <c r="F15" s="20">
        <f>IFERROR(VLOOKUP(E15,'Lookup Tables'!$A$6:$B$14,2,0),"-")</f>
        <v/>
      </c>
      <c r="G15" s="32" t="n">
        <v>46136</v>
      </c>
      <c r="H15" s="22" t="inlineStr">
        <is>
          <t>Critical</t>
        </is>
      </c>
      <c r="I15" s="25" t="inlineStr">
        <is>
          <t>Closed</t>
        </is>
      </c>
      <c r="J15" s="18" t="n">
        <v>1</v>
      </c>
      <c r="K15" s="32" t="n">
        <v>46136</v>
      </c>
      <c r="L15" s="20" t="inlineStr">
        <is>
          <t>L. Andersen</t>
        </is>
      </c>
      <c r="M15" s="20" t="inlineStr"/>
      <c r="N15" s="37">
        <f>IF(AND(I15&lt;&gt;"Closed",I15&lt;&gt;"On Hold",ISNUMBER(G15),TODAY()&gt;G15),TODAY()-G15,"")</f>
        <v/>
      </c>
    </row>
    <row r="16" ht="20" customHeight="1">
      <c r="A16" s="15" t="inlineStr">
        <is>
          <t>ACT-013</t>
        </is>
      </c>
      <c r="B16" s="15" t="inlineStr">
        <is>
          <t>Quality Mtg W17</t>
        </is>
      </c>
      <c r="C16" s="31" t="n">
        <v>46136</v>
      </c>
      <c r="D16" s="15" t="inlineStr">
        <is>
          <t>Submit material traceability certificates for steel batch SB-044</t>
        </is>
      </c>
      <c r="E16" s="15" t="inlineStr">
        <is>
          <t>Structural</t>
        </is>
      </c>
      <c r="F16" s="15">
        <f>IFERROR(VLOOKUP(E16,'Lookup Tables'!$A$6:$B$14,2,0),"-")</f>
        <v/>
      </c>
      <c r="G16" s="31" t="n">
        <v>46140</v>
      </c>
      <c r="H16" s="22" t="inlineStr">
        <is>
          <t>High</t>
        </is>
      </c>
      <c r="I16" s="25" t="inlineStr">
        <is>
          <t>Closed</t>
        </is>
      </c>
      <c r="J16" s="13" t="n">
        <v>1</v>
      </c>
      <c r="K16" s="31" t="n">
        <v>46138</v>
      </c>
      <c r="L16" s="15" t="inlineStr">
        <is>
          <t>M. Berg</t>
        </is>
      </c>
      <c r="M16" s="15" t="inlineStr"/>
      <c r="N16" s="36">
        <f>IF(AND(I16&lt;&gt;"Closed",I16&lt;&gt;"On Hold",ISNUMBER(G16),TODAY()&gt;G16),TODAY()-G16,"")</f>
        <v/>
      </c>
    </row>
    <row r="17" ht="20" customHeight="1">
      <c r="A17" s="20" t="inlineStr">
        <is>
          <t>ACT-014</t>
        </is>
      </c>
      <c r="B17" s="20" t="inlineStr">
        <is>
          <t>Site Coord W18</t>
        </is>
      </c>
      <c r="C17" s="32" t="n">
        <v>46143</v>
      </c>
      <c r="D17" s="20" t="inlineStr">
        <is>
          <t>Validate instrument calibration data before loop testing</t>
        </is>
      </c>
      <c r="E17" s="20" t="inlineStr">
        <is>
          <t>Instrumentation</t>
        </is>
      </c>
      <c r="F17" s="20">
        <f>IFERROR(VLOOKUP(E17,'Lookup Tables'!$A$6:$B$14,2,0),"-")</f>
        <v/>
      </c>
      <c r="G17" s="32" t="n">
        <v>46154</v>
      </c>
      <c r="H17" s="22" t="inlineStr">
        <is>
          <t>High</t>
        </is>
      </c>
      <c r="I17" s="23" t="inlineStr">
        <is>
          <t>Open</t>
        </is>
      </c>
      <c r="J17" s="18" t="n">
        <v>0</v>
      </c>
      <c r="K17" s="20" t="n"/>
      <c r="L17" s="20" t="inlineStr"/>
      <c r="M17" s="20" t="inlineStr"/>
      <c r="N17" s="37">
        <f>IF(AND(I17&lt;&gt;"Closed",I17&lt;&gt;"On Hold",ISNUMBER(G17),TODAY()&gt;G17),TODAY()-G17,"")</f>
        <v/>
      </c>
    </row>
    <row r="18" ht="20" customHeight="1">
      <c r="A18" s="15" t="inlineStr">
        <is>
          <t>ACT-015</t>
        </is>
      </c>
      <c r="B18" s="15" t="inlineStr">
        <is>
          <t>Client Mtg W18</t>
        </is>
      </c>
      <c r="C18" s="31" t="n">
        <v>46142</v>
      </c>
      <c r="D18" s="15" t="inlineStr">
        <is>
          <t>Confirm milestone dates — re-baseline if necessary; client sign-off required</t>
        </is>
      </c>
      <c r="E18" s="15" t="inlineStr">
        <is>
          <t>All</t>
        </is>
      </c>
      <c r="F18" s="15">
        <f>IFERROR(VLOOKUP(E18,'Lookup Tables'!$A$6:$B$14,2,0),"-")</f>
        <v/>
      </c>
      <c r="G18" s="31" t="n">
        <v>46156</v>
      </c>
      <c r="H18" s="22" t="inlineStr">
        <is>
          <t>High</t>
        </is>
      </c>
      <c r="I18" s="23" t="inlineStr">
        <is>
          <t>Open</t>
        </is>
      </c>
      <c r="J18" s="13" t="n">
        <v>0</v>
      </c>
      <c r="K18" s="15" t="n"/>
      <c r="L18" s="15" t="inlineStr"/>
      <c r="M18" s="15" t="inlineStr"/>
      <c r="N18" s="36">
        <f>IF(AND(I18&lt;&gt;"Closed",I18&lt;&gt;"On Hold",ISNUMBER(G18),TODAY()&gt;G18),TODAY()-G18,"")</f>
        <v/>
      </c>
    </row>
    <row r="19" ht="20" customHeight="1">
      <c r="A19" s="20" t="inlineStr">
        <is>
          <t>ACT-016</t>
        </is>
      </c>
      <c r="B19" s="20" t="inlineStr">
        <is>
          <t>Daily Standup W18</t>
        </is>
      </c>
      <c r="C19" s="32" t="n">
        <v>46140</v>
      </c>
      <c r="D19" s="20" t="inlineStr">
        <is>
          <t>Resolve interface clash — mechanical skid vs. electrical conduit Zone A</t>
        </is>
      </c>
      <c r="E19" s="20" t="inlineStr">
        <is>
          <t>Mechanical</t>
        </is>
      </c>
      <c r="F19" s="20">
        <f>IFERROR(VLOOKUP(E19,'Lookup Tables'!$A$6:$B$14,2,0),"-")</f>
        <v/>
      </c>
      <c r="G19" s="32" t="n">
        <v>46144</v>
      </c>
      <c r="H19" s="24" t="inlineStr">
        <is>
          <t>Medium</t>
        </is>
      </c>
      <c r="I19" s="24" t="inlineStr">
        <is>
          <t>In Progress</t>
        </is>
      </c>
      <c r="J19" s="18" t="n">
        <v>0.5</v>
      </c>
      <c r="K19" s="20" t="n"/>
      <c r="L19" s="20" t="inlineStr">
        <is>
          <t>3D review needed</t>
        </is>
      </c>
      <c r="M19" s="20" t="inlineStr"/>
      <c r="N19" s="37">
        <f>IF(AND(I19&lt;&gt;"Closed",I19&lt;&gt;"On Hold",ISNUMBER(G19),TODAY()&gt;G19),TODAY()-G19,"")</f>
        <v/>
      </c>
    </row>
    <row r="20" ht="20" customHeight="1">
      <c r="A20" s="15" t="inlineStr">
        <is>
          <t>ACT-017</t>
        </is>
      </c>
      <c r="B20" s="15" t="inlineStr">
        <is>
          <t>Safety Mtg W18</t>
        </is>
      </c>
      <c r="C20" s="31" t="n">
        <v>46141</v>
      </c>
      <c r="D20" s="15" t="inlineStr">
        <is>
          <t>Ensure all subcontractors complete updated Method Statement review</t>
        </is>
      </c>
      <c r="E20" s="15" t="inlineStr">
        <is>
          <t>All</t>
        </is>
      </c>
      <c r="F20" s="15">
        <f>IFERROR(VLOOKUP(E20,'Lookup Tables'!$A$6:$B$14,2,0),"-")</f>
        <v/>
      </c>
      <c r="G20" s="31" t="n">
        <v>46148</v>
      </c>
      <c r="H20" s="22" t="inlineStr">
        <is>
          <t>High</t>
        </is>
      </c>
      <c r="I20" s="23" t="inlineStr">
        <is>
          <t>Open</t>
        </is>
      </c>
      <c r="J20" s="13" t="n">
        <v>0</v>
      </c>
      <c r="K20" s="15" t="n"/>
      <c r="L20" s="15" t="inlineStr"/>
      <c r="M20" s="15" t="inlineStr"/>
      <c r="N20" s="36">
        <f>IF(AND(I20&lt;&gt;"Closed",I20&lt;&gt;"On Hold",ISNUMBER(G20),TODAY()&gt;G20),TODAY()-G20,"")</f>
        <v/>
      </c>
    </row>
  </sheetData>
  <autoFilter ref="A3:N3"/>
  <mergeCells count="2">
    <mergeCell ref="A2:N2"/>
    <mergeCell ref="A1:N1"/>
  </mergeCells>
  <conditionalFormatting sqref="H4:H20">
    <cfRule type="expression" priority="1" dxfId="6">
      <formula>$H4="Critical"</formula>
    </cfRule>
    <cfRule type="expression" priority="2" dxfId="6">
      <formula>$H4="High"</formula>
    </cfRule>
    <cfRule type="expression" priority="3" dxfId="2">
      <formula>$H4="Medium"</formula>
    </cfRule>
    <cfRule type="expression" priority="4" dxfId="0">
      <formula>$H4="Low"</formula>
    </cfRule>
  </conditionalFormatting>
  <conditionalFormatting sqref="I4:I20">
    <cfRule type="expression" priority="5" dxfId="1">
      <formula>$I4="Open"</formula>
    </cfRule>
    <cfRule type="expression" priority="6" dxfId="2">
      <formula>$I4="In Progress"</formula>
    </cfRule>
    <cfRule type="expression" priority="7" dxfId="0">
      <formula>$I4="Closed"</formula>
    </cfRule>
    <cfRule type="expression" priority="8" dxfId="6">
      <formula>$I4="Overdue"</formula>
    </cfRule>
    <cfRule type="expression" priority="9" dxfId="5">
      <formula>$I4="On Hold"</formula>
    </cfRule>
  </conditionalFormatting>
  <conditionalFormatting sqref="N4:N20">
    <cfRule type="expression" priority="10" dxfId="3">
      <formula>$N4&gt;0</formula>
    </cfRule>
  </conditionalFormatting>
  <conditionalFormatting sqref="J4:J20">
    <cfRule type="dataBar" priority="11">
      <dataBar>
        <cfvo type="num" val="0"/>
        <cfvo type="num" val="1"/>
        <color rgb="002563EB"/>
      </dataBar>
    </cfRule>
  </conditionalFormatting>
  <dataValidations count="9">
    <dataValidation sqref="I4 I5 I6 I7 I8 I9 I10 I11 I12 I13 I14 I15 I16 I17 I18 I19 I20" showDropDown="0" showInputMessage="0" showErrorMessage="1" allowBlank="0" errorTitle="Invalid" error="Choose from list" type="list">
      <formula1>"Open,In Progress,Closed,Overdue,On Hold"</formula1>
    </dataValidation>
    <dataValidation sqref="H4 H5 H6 H7 H8 H9 H10 H11 H12 H13 H14 H15 H16 H17 H18 H19 H20" showDropDown="0" showInputMessage="0" showErrorMessage="0" allowBlank="0" type="list">
      <formula1>"Critical,High,Medium,Low"</formula1>
    </dataValidation>
    <dataValidation sqref="C4:C20" showDropDown="0" showInputMessage="1" showErrorMessage="1" allowBlank="1" errorTitle="Invalid Date" error="Enter a valid date after 01-Jan-2020 (format: DD-MMM-YY)" promptTitle="Date Raised" prompt="Date action was formally raised&#10;  Format: DD-MMM-YY" type="date" operator="greaterThan">
      <formula1>DATE(2020,1,1)</formula1>
    </dataValidation>
    <dataValidation sqref="G4:G20" showDropDown="0" showInputMessage="1" showErrorMessage="1" allowBlank="1" errorTitle="Invalid Date" error="Enter a valid date after 01-Jan-2020 (format: DD-MMM-YY)" promptTitle="Due Date" prompt="Target completion date&#10;  Used to calculate Days Overdue (col N)&#10;  Format: DD-MMM-YY" type="date" operator="greaterThan">
      <formula1>DATE(2020,1,1)</formula1>
    </dataValidation>
    <dataValidation sqref="K4:K20" showDropDown="0" showInputMessage="1" showErrorMessage="1" allowBlank="1" errorTitle="Invalid Date" error="Enter a valid date after 01-Jan-2020 (format: DD-MMM-YY)" promptTitle="Date Closed" prompt="Date action was resolved and verified&#10;  Format: DD-MMM-YY" type="date" operator="greaterThan">
      <formula1>DATE(2020,1,1)</formula1>
    </dataValidation>
    <dataValidation sqref="J4:J20" showDropDown="0" showInputMessage="1" showErrorMessage="1" allowBlank="1" errorTitle="Out of Range" error="Enter a decimal between 0.0 and 1.0  (e.g. 0.75 = 75%)" promptTitle="% Done" prompt="Completion % as decimal&#10;  0.0 = Not started&#10;  0.5 = 50% complete&#10;  1.0 = Done" type="decimal" operator="between">
      <formula1>0.0</formula1>
      <formula2>1.0</formula2>
    </dataValidation>
    <dataValidation sqref="E4:E20" showDropDown="0" showInputMessage="1" showErrorMessage="1" allowBlank="1" errorTitle="Invalid Selection" error="Choose a value from the dropdown list" promptTitle="Discipline" prompt="Select responsible discipline from dropdown" type="list">
      <formula1>'Lookup Tables'!$A$6:$A$14</formula1>
    </dataValidation>
    <dataValidation sqref="I4:I20" showDropDown="0" showInputMessage="1" showErrorMessage="1" allowBlank="1" errorTitle="Invalid Selection" error="Choose a value from the dropdown list" promptTitle="Status" prompt="Select current action status from dropdown" type="list">
      <formula1>"Open,In Progress,Closed,Overdue,On Hold"</formula1>
    </dataValidation>
    <dataValidation sqref="H4:H20" showDropDown="0" showInputMessage="1" showErrorMessage="1" allowBlank="1" errorTitle="Invalid Selection" error="Choose a value from the dropdown list" promptTitle="Priority" prompt="Select action priority from dropdown" type="list">
      <formula1>"Critical,High,Medium,Low"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E293B"/>
    <outlinePr summaryBelow="1" summaryRight="1"/>
    <pageSetUpPr fitToPage="1"/>
  </sheetPr>
  <dimension ref="A1:N1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52" customWidth="1" min="4" max="4"/>
    <col width="20" customWidth="1" min="5" max="5"/>
    <col width="13" customWidth="1" min="6" max="6"/>
    <col width="12" customWidth="1" min="7" max="7"/>
    <col width="44" customWidth="1" min="8" max="8"/>
    <col width="44" customWidth="1" min="9" max="9"/>
    <col width="16" customWidth="1" min="10" max="10"/>
    <col width="12" customWidth="1" min="11" max="11"/>
    <col width="13" customWidth="1" min="12" max="12"/>
    <col width="12" customWidth="1" min="13" max="13"/>
    <col width="17" customWidth="1" min="14" max="14"/>
  </cols>
  <sheetData>
    <row r="1" ht="40" customHeight="1">
      <c r="A1" s="1" t="inlineStr">
        <is>
          <t>NON-CONFORMANCE REPORT (NCR) &amp; QUALITY TRACKER</t>
        </is>
      </c>
    </row>
    <row r="2" ht="26" customHeight="1">
      <c r="A2" s="2" t="inlineStr">
        <is>
          <t>M (Days Open) = IF(Closed,0,TODAY()−DateRaised) · N (Discipline Lead) = INDEX/MATCH from Lookup Tables</t>
        </is>
      </c>
    </row>
    <row r="3" ht="36" customHeight="1">
      <c r="A3" s="11" t="inlineStr">
        <is>
          <t>NCR No.</t>
        </is>
      </c>
      <c r="B3" s="11" t="inlineStr">
        <is>
          <t>Discipline</t>
        </is>
      </c>
      <c r="C3" s="11" t="inlineStr">
        <is>
          <t>Type</t>
        </is>
      </c>
      <c r="D3" s="11" t="inlineStr">
        <is>
          <t>Non-Conformance Description</t>
        </is>
      </c>
      <c r="E3" s="11" t="inlineStr">
        <is>
          <t>Location</t>
        </is>
      </c>
      <c r="F3" s="11" t="inlineStr">
        <is>
          <t>Raised By</t>
        </is>
      </c>
      <c r="G3" s="11" t="inlineStr">
        <is>
          <t>Date Raised</t>
        </is>
      </c>
      <c r="H3" s="11" t="inlineStr">
        <is>
          <t>Root Cause</t>
        </is>
      </c>
      <c r="I3" s="11" t="inlineStr">
        <is>
          <t>Corrective Action</t>
        </is>
      </c>
      <c r="J3" s="11" t="inlineStr">
        <is>
          <t>Responsible</t>
        </is>
      </c>
      <c r="K3" s="11" t="inlineStr">
        <is>
          <t>Due Date</t>
        </is>
      </c>
      <c r="L3" s="11" t="inlineStr">
        <is>
          <t>Status</t>
        </is>
      </c>
      <c r="M3" s="11" t="inlineStr">
        <is>
          <t>Days Open
=TODAY()−raised</t>
        </is>
      </c>
      <c r="N3" s="11" t="inlineStr">
        <is>
          <t>Disc. Lead
=INDEX/MATCH</t>
        </is>
      </c>
    </row>
    <row r="4" ht="20" customHeight="1">
      <c r="A4" s="15" t="inlineStr">
        <is>
          <t>NCR-001</t>
        </is>
      </c>
      <c r="B4" s="15" t="inlineStr">
        <is>
          <t>Structural</t>
        </is>
      </c>
      <c r="C4" s="23" t="inlineStr">
        <is>
          <t>Material</t>
        </is>
      </c>
      <c r="D4" s="15" t="inlineStr">
        <is>
          <t>Steel beam flange width 2mm below tolerance — spec 300mm, found 298mm</t>
        </is>
      </c>
      <c r="E4" s="15" t="inlineStr">
        <is>
          <t>Zone B Grid 5-6</t>
        </is>
      </c>
      <c r="F4" s="15" t="inlineStr">
        <is>
          <t>M. Berg</t>
        </is>
      </c>
      <c r="G4" s="31" t="n">
        <v>46114</v>
      </c>
      <c r="H4" s="15" t="inlineStr">
        <is>
          <t>Wrong material ordered — spec not checked</t>
        </is>
      </c>
      <c r="I4" s="15" t="inlineStr">
        <is>
          <t>Replace beam; update procurement verification</t>
        </is>
      </c>
      <c r="J4" s="15" t="inlineStr">
        <is>
          <t>K. Lindqvist</t>
        </is>
      </c>
      <c r="K4" s="31" t="n">
        <v>46122</v>
      </c>
      <c r="L4" s="25" t="inlineStr">
        <is>
          <t>Closed</t>
        </is>
      </c>
      <c r="M4" s="38">
        <f>IF(L4="Closed",0,TODAY()-G4)</f>
        <v/>
      </c>
      <c r="N4" s="15">
        <f>IFERROR(INDEX('Lookup Tables'!$B$6:$B$14,MATCH(B4,'Lookup Tables'!$A$6:$A$14,0)),"-")</f>
        <v/>
      </c>
    </row>
    <row r="5" ht="20" customHeight="1">
      <c r="A5" s="20" t="inlineStr">
        <is>
          <t>NCR-002</t>
        </is>
      </c>
      <c r="B5" s="20" t="inlineStr">
        <is>
          <t>Civil</t>
        </is>
      </c>
      <c r="C5" s="24" t="inlineStr">
        <is>
          <t>Workmanship</t>
        </is>
      </c>
      <c r="D5" s="20" t="inlineStr">
        <is>
          <t>Concrete cover to rebar 18mm vs. 40mm specified</t>
        </is>
      </c>
      <c r="E5" s="20" t="inlineStr">
        <is>
          <t>Foundation B3</t>
        </is>
      </c>
      <c r="F5" s="20" t="inlineStr">
        <is>
          <t>J. Hansen</t>
        </is>
      </c>
      <c r="G5" s="32" t="n">
        <v>46120</v>
      </c>
      <c r="H5" s="20" t="inlineStr">
        <is>
          <t>Formwork positioning error</t>
        </is>
      </c>
      <c r="I5" s="20" t="inlineStr">
        <is>
          <t>Break out and reinstate; supervisor sign-off</t>
        </is>
      </c>
      <c r="J5" s="20" t="inlineStr">
        <is>
          <t>J. Hansen</t>
        </is>
      </c>
      <c r="K5" s="32" t="n">
        <v>46130</v>
      </c>
      <c r="L5" s="25" t="inlineStr">
        <is>
          <t>Closed</t>
        </is>
      </c>
      <c r="M5" s="39">
        <f>IF(L5="Closed",0,TODAY()-G5)</f>
        <v/>
      </c>
      <c r="N5" s="20">
        <f>IFERROR(INDEX('Lookup Tables'!$B$6:$B$14,MATCH(B5,'Lookup Tables'!$A$6:$A$14,0)),"-")</f>
        <v/>
      </c>
    </row>
    <row r="6" ht="20" customHeight="1">
      <c r="A6" s="15" t="inlineStr">
        <is>
          <t>NCR-003</t>
        </is>
      </c>
      <c r="B6" s="15" t="inlineStr">
        <is>
          <t>Electrical</t>
        </is>
      </c>
      <c r="C6" s="26" t="inlineStr">
        <is>
          <t>Installation</t>
        </is>
      </c>
      <c r="D6" s="15" t="inlineStr">
        <is>
          <t>Cable tray support spacing 1200mm vs. 900mm per spec</t>
        </is>
      </c>
      <c r="E6" s="15" t="inlineStr">
        <is>
          <t>HV Room</t>
        </is>
      </c>
      <c r="F6" s="15" t="inlineStr">
        <is>
          <t>A. Nilsen</t>
        </is>
      </c>
      <c r="G6" s="31" t="n">
        <v>46124</v>
      </c>
      <c r="H6" s="15" t="inlineStr">
        <is>
          <t>Incorrect reading of installation spec</t>
        </is>
      </c>
      <c r="I6" s="15" t="inlineStr">
        <is>
          <t>Add intermediate supports; re-inspect all trays</t>
        </is>
      </c>
      <c r="J6" s="15" t="inlineStr">
        <is>
          <t>M. Berg</t>
        </is>
      </c>
      <c r="K6" s="31" t="n">
        <v>46134</v>
      </c>
      <c r="L6" s="25" t="inlineStr">
        <is>
          <t>Closed</t>
        </is>
      </c>
      <c r="M6" s="38">
        <f>IF(L6="Closed",0,TODAY()-G6)</f>
        <v/>
      </c>
      <c r="N6" s="15">
        <f>IFERROR(INDEX('Lookup Tables'!$B$6:$B$14,MATCH(B6,'Lookup Tables'!$A$6:$A$14,0)),"-")</f>
        <v/>
      </c>
    </row>
    <row r="7" ht="20" customHeight="1">
      <c r="A7" s="20" t="inlineStr">
        <is>
          <t>NCR-004</t>
        </is>
      </c>
      <c r="B7" s="20" t="inlineStr">
        <is>
          <t>Piping</t>
        </is>
      </c>
      <c r="C7" s="24" t="inlineStr">
        <is>
          <t>Workmanship</t>
        </is>
      </c>
      <c r="D7" s="20" t="inlineStr">
        <is>
          <t>Porosity defect in butt weld — Line P-101 Spool 4</t>
        </is>
      </c>
      <c r="E7" s="20" t="inlineStr">
        <is>
          <t>Zone A Spool 4</t>
        </is>
      </c>
      <c r="F7" s="20" t="inlineStr">
        <is>
          <t>S. Patel</t>
        </is>
      </c>
      <c r="G7" s="32" t="n">
        <v>46127</v>
      </c>
      <c r="H7" s="20" t="inlineStr">
        <is>
          <t>Welder qualification lapse; moisture in electrode</t>
        </is>
      </c>
      <c r="I7" s="20" t="inlineStr">
        <is>
          <t>Cut out and re-weld; 100% NDE on 2 adjacent</t>
        </is>
      </c>
      <c r="J7" s="20" t="inlineStr">
        <is>
          <t>S. Patel</t>
        </is>
      </c>
      <c r="K7" s="32" t="n">
        <v>46137</v>
      </c>
      <c r="L7" s="25" t="inlineStr">
        <is>
          <t>Closed</t>
        </is>
      </c>
      <c r="M7" s="39">
        <f>IF(L7="Closed",0,TODAY()-G7)</f>
        <v/>
      </c>
      <c r="N7" s="20">
        <f>IFERROR(INDEX('Lookup Tables'!$B$6:$B$14,MATCH(B7,'Lookup Tables'!$A$6:$A$14,0)),"-")</f>
        <v/>
      </c>
    </row>
    <row r="8" ht="20" customHeight="1">
      <c r="A8" s="15" t="inlineStr">
        <is>
          <t>NCR-005</t>
        </is>
      </c>
      <c r="B8" s="15" t="inlineStr">
        <is>
          <t>Structural</t>
        </is>
      </c>
      <c r="C8" s="24" t="inlineStr">
        <is>
          <t>Workmanship</t>
        </is>
      </c>
      <c r="D8" s="15" t="inlineStr">
        <is>
          <t>Bolt torque not achieved — beam-to-column Level 1</t>
        </is>
      </c>
      <c r="E8" s="15" t="inlineStr">
        <is>
          <t>Building 1 L1</t>
        </is>
      </c>
      <c r="F8" s="15" t="inlineStr">
        <is>
          <t>K. Lindqvist</t>
        </is>
      </c>
      <c r="G8" s="31" t="n">
        <v>46130</v>
      </c>
      <c r="H8" s="15" t="inlineStr">
        <is>
          <t>Torque wrench not calibrated</t>
        </is>
      </c>
      <c r="I8" s="15" t="inlineStr">
        <is>
          <t>Re-torque all; calibrate tools; 100% re-inspect</t>
        </is>
      </c>
      <c r="J8" s="15" t="inlineStr">
        <is>
          <t>K. Lindqvist</t>
        </is>
      </c>
      <c r="K8" s="31" t="n">
        <v>46140</v>
      </c>
      <c r="L8" s="25" t="inlineStr">
        <is>
          <t>Closed</t>
        </is>
      </c>
      <c r="M8" s="38">
        <f>IF(L8="Closed",0,TODAY()-G8)</f>
        <v/>
      </c>
      <c r="N8" s="15">
        <f>IFERROR(INDEX('Lookup Tables'!$B$6:$B$14,MATCH(B8,'Lookup Tables'!$A$6:$A$14,0)),"-")</f>
        <v/>
      </c>
    </row>
    <row r="9" ht="20" customHeight="1">
      <c r="A9" s="20" t="inlineStr">
        <is>
          <t>NCR-006</t>
        </is>
      </c>
      <c r="B9" s="20" t="inlineStr">
        <is>
          <t>HVAC</t>
        </is>
      </c>
      <c r="C9" s="23" t="inlineStr">
        <is>
          <t>Material</t>
        </is>
      </c>
      <c r="D9" s="20" t="inlineStr">
        <is>
          <t>Duct insulation 25mm vs. 40mm specified</t>
        </is>
      </c>
      <c r="E9" s="20" t="inlineStr">
        <is>
          <t>Building 1 L2</t>
        </is>
      </c>
      <c r="F9" s="20" t="inlineStr">
        <is>
          <t>L. Andersen</t>
        </is>
      </c>
      <c r="G9" s="32" t="n">
        <v>46132</v>
      </c>
      <c r="H9" s="20" t="inlineStr">
        <is>
          <t>Incorrect material issued from stores</t>
        </is>
      </c>
      <c r="I9" s="20" t="inlineStr">
        <is>
          <t>Replace insulation; update material issue checklist</t>
        </is>
      </c>
      <c r="J9" s="20" t="inlineStr">
        <is>
          <t>L. Andersen</t>
        </is>
      </c>
      <c r="K9" s="32" t="n">
        <v>46143</v>
      </c>
      <c r="L9" s="24" t="inlineStr">
        <is>
          <t>In Progress</t>
        </is>
      </c>
      <c r="M9" s="39">
        <f>IF(L9="Closed",0,TODAY()-G9)</f>
        <v/>
      </c>
      <c r="N9" s="20">
        <f>IFERROR(INDEX('Lookup Tables'!$B$6:$B$14,MATCH(B9,'Lookup Tables'!$A$6:$A$14,0)),"-")</f>
        <v/>
      </c>
    </row>
    <row r="10" ht="20" customHeight="1">
      <c r="A10" s="15" t="inlineStr">
        <is>
          <t>NCR-007</t>
        </is>
      </c>
      <c r="B10" s="15" t="inlineStr">
        <is>
          <t>Structural</t>
        </is>
      </c>
      <c r="C10" s="24" t="inlineStr">
        <is>
          <t>Workmanship</t>
        </is>
      </c>
      <c r="D10" s="15" t="inlineStr">
        <is>
          <t>Incomplete fusion in fillet weld — Column C7</t>
        </is>
      </c>
      <c r="E10" s="15" t="inlineStr">
        <is>
          <t>Zone C Col C7</t>
        </is>
      </c>
      <c r="F10" s="15" t="inlineStr">
        <is>
          <t>M. Berg</t>
        </is>
      </c>
      <c r="G10" s="31" t="n">
        <v>46134</v>
      </c>
      <c r="H10" s="15" t="inlineStr">
        <is>
          <t>Welder fatigue and inadequate pre-heat</t>
        </is>
      </c>
      <c r="I10" s="15" t="inlineStr">
        <is>
          <t>Grind out and re-weld; PWHT review; briefing</t>
        </is>
      </c>
      <c r="J10" s="15" t="inlineStr">
        <is>
          <t>M. Berg</t>
        </is>
      </c>
      <c r="K10" s="31" t="n">
        <v>46147</v>
      </c>
      <c r="L10" s="24" t="inlineStr">
        <is>
          <t>In Progress</t>
        </is>
      </c>
      <c r="M10" s="38">
        <f>IF(L10="Closed",0,TODAY()-G10)</f>
        <v/>
      </c>
      <c r="N10" s="15">
        <f>IFERROR(INDEX('Lookup Tables'!$B$6:$B$14,MATCH(B10,'Lookup Tables'!$A$6:$A$14,0)),"-")</f>
        <v/>
      </c>
    </row>
    <row r="11" ht="20" customHeight="1">
      <c r="A11" s="20" t="inlineStr">
        <is>
          <t>NCR-008</t>
        </is>
      </c>
      <c r="B11" s="20" t="inlineStr">
        <is>
          <t>Civil</t>
        </is>
      </c>
      <c r="C11" s="24" t="inlineStr">
        <is>
          <t>Workmanship</t>
        </is>
      </c>
      <c r="D11" s="20" t="inlineStr">
        <is>
          <t>Backfill compaction 91% Proctor vs. 95% minimum</t>
        </is>
      </c>
      <c r="E11" s="20" t="inlineStr">
        <is>
          <t>Zone C Layer 3</t>
        </is>
      </c>
      <c r="F11" s="20" t="inlineStr">
        <is>
          <t>J. Hansen</t>
        </is>
      </c>
      <c r="G11" s="32" t="n">
        <v>46137</v>
      </c>
      <c r="H11" s="20" t="inlineStr">
        <is>
          <t>Compaction plant breakdown — work continued</t>
        </is>
      </c>
      <c r="I11" s="20" t="inlineStr">
        <is>
          <t>Remove and re-compact; equipment check first</t>
        </is>
      </c>
      <c r="J11" s="20" t="inlineStr">
        <is>
          <t>J. Hansen</t>
        </is>
      </c>
      <c r="K11" s="32" t="n">
        <v>46149</v>
      </c>
      <c r="L11" s="23" t="inlineStr">
        <is>
          <t>Open</t>
        </is>
      </c>
      <c r="M11" s="39">
        <f>IF(L11="Closed",0,TODAY()-G11)</f>
        <v/>
      </c>
      <c r="N11" s="20">
        <f>IFERROR(INDEX('Lookup Tables'!$B$6:$B$14,MATCH(B11,'Lookup Tables'!$A$6:$A$14,0)),"-")</f>
        <v/>
      </c>
    </row>
    <row r="12" ht="20" customHeight="1">
      <c r="A12" s="15" t="inlineStr">
        <is>
          <t>NCR-009</t>
        </is>
      </c>
      <c r="B12" s="15" t="inlineStr">
        <is>
          <t>Mechanical</t>
        </is>
      </c>
      <c r="C12" s="26" t="inlineStr">
        <is>
          <t>Installation</t>
        </is>
      </c>
      <c r="D12" s="15" t="inlineStr">
        <is>
          <t>Pump alignment out of tolerance — axial 0.12mm vs. 0.05mm max</t>
        </is>
      </c>
      <c r="E12" s="15" t="inlineStr">
        <is>
          <t>Pump Hall P-203</t>
        </is>
      </c>
      <c r="F12" s="15" t="inlineStr">
        <is>
          <t>A. Nilsen</t>
        </is>
      </c>
      <c r="G12" s="31" t="n">
        <v>46140</v>
      </c>
      <c r="H12" s="15" t="inlineStr">
        <is>
          <t>Grouting not cured before alignment</t>
        </is>
      </c>
      <c r="I12" s="15" t="inlineStr">
        <is>
          <t>Re-align after 28-day cure; document records</t>
        </is>
      </c>
      <c r="J12" s="15" t="inlineStr">
        <is>
          <t>A. Nilsen</t>
        </is>
      </c>
      <c r="K12" s="31" t="n">
        <v>46152</v>
      </c>
      <c r="L12" s="23" t="inlineStr">
        <is>
          <t>Open</t>
        </is>
      </c>
      <c r="M12" s="38">
        <f>IF(L12="Closed",0,TODAY()-G12)</f>
        <v/>
      </c>
      <c r="N12" s="15">
        <f>IFERROR(INDEX('Lookup Tables'!$B$6:$B$14,MATCH(B12,'Lookup Tables'!$A$6:$A$14,0)),"-")</f>
        <v/>
      </c>
    </row>
    <row r="13" ht="20" customHeight="1">
      <c r="A13" s="20" t="inlineStr">
        <is>
          <t>NCR-010</t>
        </is>
      </c>
      <c r="B13" s="20" t="inlineStr">
        <is>
          <t>Instrumentation</t>
        </is>
      </c>
      <c r="C13" s="26" t="inlineStr">
        <is>
          <t>Installation</t>
        </is>
      </c>
      <c r="D13" s="20" t="inlineStr">
        <is>
          <t>Wrong thermocouple type — type J installed vs. K specified</t>
        </is>
      </c>
      <c r="E13" s="20" t="inlineStr">
        <is>
          <t>Zone A TI-101</t>
        </is>
      </c>
      <c r="F13" s="20" t="inlineStr">
        <is>
          <t>T. Eriksson</t>
        </is>
      </c>
      <c r="G13" s="32" t="n">
        <v>46141</v>
      </c>
      <c r="H13" s="20" t="inlineStr">
        <is>
          <t>Stores label incorrectly marked</t>
        </is>
      </c>
      <c r="I13" s="20" t="inlineStr">
        <is>
          <t>Replace with type K; audit all IDs site-wide</t>
        </is>
      </c>
      <c r="J13" s="20" t="inlineStr">
        <is>
          <t>T. Eriksson</t>
        </is>
      </c>
      <c r="K13" s="32" t="n">
        <v>46150</v>
      </c>
      <c r="L13" s="23" t="inlineStr">
        <is>
          <t>Open</t>
        </is>
      </c>
      <c r="M13" s="39">
        <f>IF(L13="Closed",0,TODAY()-G13)</f>
        <v/>
      </c>
      <c r="N13" s="20">
        <f>IFERROR(INDEX('Lookup Tables'!$B$6:$B$14,MATCH(B13,'Lookup Tables'!$A$6:$A$14,0)),"-")</f>
        <v/>
      </c>
    </row>
    <row r="14" ht="20" customHeight="1">
      <c r="A14" s="15" t="inlineStr">
        <is>
          <t>NCR-011</t>
        </is>
      </c>
      <c r="B14" s="15" t="inlineStr">
        <is>
          <t>Piping</t>
        </is>
      </c>
      <c r="C14" s="24" t="inlineStr">
        <is>
          <t>Workmanship</t>
        </is>
      </c>
      <c r="D14" s="15" t="inlineStr">
        <is>
          <t>Gasket material non-conformance — PTFE vs. spiral wound</t>
        </is>
      </c>
      <c r="E14" s="15" t="inlineStr">
        <is>
          <t>Zone A Flange F-22</t>
        </is>
      </c>
      <c r="F14" s="15" t="inlineStr">
        <is>
          <t>S. Patel</t>
        </is>
      </c>
      <c r="G14" s="31" t="n">
        <v>46142</v>
      </c>
      <c r="H14" s="15" t="inlineStr">
        <is>
          <t>Substitution without engineering approval</t>
        </is>
      </c>
      <c r="I14" s="15" t="inlineStr">
        <is>
          <t>Replace gaskets; issue material deviation form</t>
        </is>
      </c>
      <c r="J14" s="15" t="inlineStr">
        <is>
          <t>S. Patel</t>
        </is>
      </c>
      <c r="K14" s="31" t="n">
        <v>46151</v>
      </c>
      <c r="L14" s="23" t="inlineStr">
        <is>
          <t>Open</t>
        </is>
      </c>
      <c r="M14" s="38">
        <f>IF(L14="Closed",0,TODAY()-G14)</f>
        <v/>
      </c>
      <c r="N14" s="15">
        <f>IFERROR(INDEX('Lookup Tables'!$B$6:$B$14,MATCH(B14,'Lookup Tables'!$A$6:$A$14,0)),"-")</f>
        <v/>
      </c>
    </row>
    <row r="15" ht="20" customHeight="1">
      <c r="A15" s="20" t="inlineStr">
        <is>
          <t>NCR-012</t>
        </is>
      </c>
      <c r="B15" s="20" t="inlineStr">
        <is>
          <t>Electrical</t>
        </is>
      </c>
      <c r="C15" s="26" t="inlineStr">
        <is>
          <t>Installation</t>
        </is>
      </c>
      <c r="D15" s="20" t="inlineStr">
        <is>
          <t>Conduit penetration unsealed — missing firestop in firewall</t>
        </is>
      </c>
      <c r="E15" s="20" t="inlineStr">
        <is>
          <t>Control Room</t>
        </is>
      </c>
      <c r="F15" s="20" t="inlineStr">
        <is>
          <t>M. Berg</t>
        </is>
      </c>
      <c r="G15" s="32" t="n">
        <v>46143</v>
      </c>
      <c r="H15" s="20" t="inlineStr">
        <is>
          <t>Subcontractor unaware of firewall requirement</t>
        </is>
      </c>
      <c r="I15" s="20" t="inlineStr">
        <is>
          <t>Apply approved firestop; inspect all penetrations</t>
        </is>
      </c>
      <c r="J15" s="20" t="inlineStr">
        <is>
          <t>M. Berg</t>
        </is>
      </c>
      <c r="K15" s="32" t="n">
        <v>46154</v>
      </c>
      <c r="L15" s="23" t="inlineStr">
        <is>
          <t>Open</t>
        </is>
      </c>
      <c r="M15" s="39">
        <f>IF(L15="Closed",0,TODAY()-G15)</f>
        <v/>
      </c>
      <c r="N15" s="20">
        <f>IFERROR(INDEX('Lookup Tables'!$B$6:$B$14,MATCH(B15,'Lookup Tables'!$A$6:$A$14,0)),"-")</f>
        <v/>
      </c>
    </row>
  </sheetData>
  <autoFilter ref="A3:N3"/>
  <mergeCells count="2">
    <mergeCell ref="A2:N2"/>
    <mergeCell ref="A1:N1"/>
  </mergeCells>
  <conditionalFormatting sqref="L4:L15">
    <cfRule type="expression" priority="1" dxfId="1">
      <formula>$L4="Open"</formula>
    </cfRule>
    <cfRule type="expression" priority="2" dxfId="2">
      <formula>$L4="In Progress"</formula>
    </cfRule>
    <cfRule type="expression" priority="3" dxfId="0">
      <formula>$L4="Closed"</formula>
    </cfRule>
  </conditionalFormatting>
  <conditionalFormatting sqref="C4:C15">
    <cfRule type="expression" priority="4" dxfId="1">
      <formula>$C4="Material"</formula>
    </cfRule>
    <cfRule type="expression" priority="5" dxfId="2">
      <formula>$C4="Workmanship"</formula>
    </cfRule>
    <cfRule type="expression" priority="6" dxfId="7">
      <formula>$C4="Installation"</formula>
    </cfRule>
  </conditionalFormatting>
  <conditionalFormatting sqref="M4:M15">
    <cfRule type="expression" priority="7" dxfId="3">
      <formula>$M4&gt;28</formula>
    </cfRule>
    <cfRule type="expression" priority="8" dxfId="8">
      <formula>AND($M4&gt;14,$M4&lt;=28)</formula>
    </cfRule>
  </conditionalFormatting>
  <dataValidations count="5">
    <dataValidation sqref="B4:B15" showDropDown="0" showInputMessage="1" showErrorMessage="1" allowBlank="1" errorTitle="Invalid Selection" error="Choose a value from the dropdown list" promptTitle="Discipline" prompt="Select discipline from dropdown" type="list">
      <formula1>'Lookup Tables'!$A$6:$A$14</formula1>
    </dataValidation>
    <dataValidation sqref="C4:C15" showDropDown="0" showInputMessage="1" showErrorMessage="1" allowBlank="1" errorTitle="Invalid Selection" error="Choose a value from the dropdown list" promptTitle="NCR Type" prompt="Material    = wrong material supplied&#10;Workmanship = poor execution / craft&#10;Installation = incorrectly fitted&#10;Design       = design error" type="list">
      <formula1>"Material,Workmanship,Installation,Design"</formula1>
    </dataValidation>
    <dataValidation sqref="L4:L15" showDropDown="0" showInputMessage="1" showErrorMessage="1" allowBlank="1" errorTitle="Invalid Selection" error="Choose a value from the dropdown list" promptTitle="Status" prompt="Open / In Progress / Closed" type="list">
      <formula1>"Open,In Progress,Closed"</formula1>
    </dataValidation>
    <dataValidation sqref="G4:G15" showDropDown="0" showInputMessage="1" showErrorMessage="1" allowBlank="1" errorTitle="Invalid Date" error="Enter a valid date after 01-Jan-2020 (format: DD-MMM-YY)" promptTitle="Date Raised" prompt="Date NCR was formally raised&#10;  Format: DD-MMM-YY" type="date" operator="greaterThan">
      <formula1>DATE(2020,1,1)</formula1>
    </dataValidation>
    <dataValidation sqref="K4:K15" showDropDown="0" showInputMessage="1" showErrorMessage="1" allowBlank="1" errorTitle="Invalid Date" error="Enter a valid date after 01-Jan-2020 (format: DD-MMM-YY)" promptTitle="Due Date" prompt="Target resolution date&#10;  Format: DD-MMM-YY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E293B"/>
    <outlinePr summaryBelow="0" summaryRight="1"/>
    <pageSetUpPr fitToPage="1"/>
  </sheetPr>
  <dimension ref="A1:O2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1" customWidth="1" min="3" max="3"/>
    <col width="11" customWidth="1" min="4" max="4"/>
    <col width="10" customWidth="1" min="5" max="5"/>
    <col width="10" customWidth="1" min="6" max="6"/>
    <col width="16" customWidth="1" min="7" max="7"/>
    <col width="16" customWidth="1" min="8" max="8"/>
    <col width="15" customWidth="1" min="9" max="9"/>
    <col width="14" customWidth="1" min="10" max="10"/>
    <col width="38" customWidth="1" min="11" max="11"/>
    <col width="32" customWidth="1" min="12" max="12"/>
    <col width="10" customWidth="1" min="13" max="13"/>
    <col width="16" customWidth="1" min="14" max="14"/>
    <col width="10" customWidth="1" min="15" max="15"/>
  </cols>
  <sheetData>
    <row r="1" ht="40" customHeight="1">
      <c r="A1" s="1" t="inlineStr">
        <is>
          <t>MONTHLY PROGRESS REPORT — Input &amp; Earned Value Analysis</t>
        </is>
      </c>
    </row>
    <row r="2" ht="26" customHeight="1">
      <c r="A2" s="2" t="inlineStr">
        <is>
          <t>Manual entry: A–H, K–M.  Formula-driven: I (SV%) · J (CV%) · N (Disc. Lead = INDEX/MATCH).  DASHBOARD SUMIFS pulls from cols A–H.</t>
        </is>
      </c>
    </row>
    <row r="3" ht="44" customHeight="1">
      <c r="A3" s="11" t="inlineStr">
        <is>
          <t>Month</t>
        </is>
      </c>
      <c r="B3" s="11" t="inlineStr">
        <is>
          <t>Discipline</t>
        </is>
      </c>
      <c r="C3" s="11" t="inlineStr">
        <is>
          <t>Budget
Hours</t>
        </is>
      </c>
      <c r="D3" s="11" t="inlineStr">
        <is>
          <t>Actual
Hours</t>
        </is>
      </c>
      <c r="E3" s="11" t="inlineStr">
        <is>
          <t>Planned
%</t>
        </is>
      </c>
      <c r="F3" s="11" t="inlineStr">
        <is>
          <t>Actual
%</t>
        </is>
      </c>
      <c r="G3" s="11" t="inlineStr">
        <is>
          <t>Earned Value
(NOK)</t>
        </is>
      </c>
      <c r="H3" s="11" t="inlineStr">
        <is>
          <t>Planned Value
(NOK)</t>
        </is>
      </c>
      <c r="I3" s="11" t="inlineStr">
        <is>
          <t>Schedule Var %
=IFERROR((F−E)/E,0)</t>
        </is>
      </c>
      <c r="J3" s="11" t="inlineStr">
        <is>
          <t>Cost Var %
=IFERROR((G−H)/H,0)</t>
        </is>
      </c>
      <c r="K3" s="11" t="inlineStr">
        <is>
          <t>Key Milestones</t>
        </is>
      </c>
      <c r="L3" s="11" t="inlineStr">
        <is>
          <t>Issues</t>
        </is>
      </c>
      <c r="M3" s="11" t="inlineStr">
        <is>
          <t>Actions
Raised</t>
        </is>
      </c>
      <c r="N3" s="11" t="inlineStr">
        <is>
          <t>Disc. Lead
=INDEX/MATCH</t>
        </is>
      </c>
      <c r="O3" s="11" t="inlineStr">
        <is>
          <t>Forecast
%</t>
        </is>
      </c>
    </row>
    <row r="4" outlineLevel="1" ht="20" customHeight="1">
      <c r="A4" s="15" t="inlineStr">
        <is>
          <t>Feb-26</t>
        </is>
      </c>
      <c r="B4" s="15" t="inlineStr">
        <is>
          <t>Civil</t>
        </is>
      </c>
      <c r="C4" s="15" t="n">
        <v>1200</v>
      </c>
      <c r="D4" s="15" t="n">
        <v>1180</v>
      </c>
      <c r="E4" s="40" t="n">
        <v>0.3</v>
      </c>
      <c r="F4" s="40" t="n">
        <v>0.28</v>
      </c>
      <c r="G4" s="27" t="n">
        <v>168000</v>
      </c>
      <c r="H4" s="27" t="n">
        <v>180000</v>
      </c>
      <c r="I4" s="41">
        <f>IFERROR((F4-E4)/E4,0)</f>
        <v/>
      </c>
      <c r="J4" s="41">
        <f>IFERROR((G4-H4)/H4,0)</f>
        <v/>
      </c>
      <c r="K4" s="15" t="inlineStr">
        <is>
          <t>Excavation complete Zone A</t>
        </is>
      </c>
      <c r="L4" s="15" t="inlineStr">
        <is>
          <t>Soft ground — extra dewatering</t>
        </is>
      </c>
      <c r="M4" s="15" t="n">
        <v>0</v>
      </c>
      <c r="N4" s="15">
        <f>IFERROR(INDEX('Lookup Tables'!$B$6:$B$14,MATCH(B4,'Lookup Tables'!$A$6:$A$14,0)),"-")</f>
        <v/>
      </c>
      <c r="O4" s="13" t="n">
        <v>0.34</v>
      </c>
    </row>
    <row r="5" outlineLevel="1" ht="20" customHeight="1">
      <c r="A5" s="20" t="inlineStr">
        <is>
          <t>Feb-26</t>
        </is>
      </c>
      <c r="B5" s="20" t="inlineStr">
        <is>
          <t>Structural</t>
        </is>
      </c>
      <c r="C5" s="20" t="n">
        <v>800</v>
      </c>
      <c r="D5" s="20" t="n">
        <v>790</v>
      </c>
      <c r="E5" s="42" t="n">
        <v>0.25</v>
      </c>
      <c r="F5" s="42" t="n">
        <v>0.26</v>
      </c>
      <c r="G5" s="29" t="n">
        <v>97500</v>
      </c>
      <c r="H5" s="29" t="n">
        <v>93750</v>
      </c>
      <c r="I5" s="43">
        <f>IFERROR((F5-E5)/E5,0)</f>
        <v/>
      </c>
      <c r="J5" s="43">
        <f>IFERROR((G5-H5)/H5,0)</f>
        <v/>
      </c>
      <c r="K5" s="20" t="inlineStr">
        <is>
          <t>Steel fabrication 100% complete</t>
        </is>
      </c>
      <c r="L5" s="20" t="inlineStr"/>
      <c r="M5" s="20" t="n">
        <v>0</v>
      </c>
      <c r="N5" s="20">
        <f>IFERROR(INDEX('Lookup Tables'!$B$6:$B$14,MATCH(B5,'Lookup Tables'!$A$6:$A$14,0)),"-")</f>
        <v/>
      </c>
      <c r="O5" s="18" t="n">
        <v>0.32</v>
      </c>
    </row>
    <row r="6" outlineLevel="1" ht="20" customHeight="1">
      <c r="A6" s="15" t="inlineStr">
        <is>
          <t>Feb-26</t>
        </is>
      </c>
      <c r="B6" s="15" t="inlineStr">
        <is>
          <t>Electrical</t>
        </is>
      </c>
      <c r="C6" s="15" t="n">
        <v>400</v>
      </c>
      <c r="D6" s="15" t="n">
        <v>380</v>
      </c>
      <c r="E6" s="40" t="n">
        <v>0.15</v>
      </c>
      <c r="F6" s="40" t="n">
        <v>0.14</v>
      </c>
      <c r="G6" s="27" t="n">
        <v>26600</v>
      </c>
      <c r="H6" s="27" t="n">
        <v>28000</v>
      </c>
      <c r="I6" s="41">
        <f>IFERROR((F6-E6)/E6,0)</f>
        <v/>
      </c>
      <c r="J6" s="41">
        <f>IFERROR((G6-H6)/H6,0)</f>
        <v/>
      </c>
      <c r="K6" s="15" t="inlineStr">
        <is>
          <t>Substation foundation ready</t>
        </is>
      </c>
      <c r="L6" s="15" t="inlineStr">
        <is>
          <t>Cable delivery delayed 1 week</t>
        </is>
      </c>
      <c r="M6" s="15" t="n">
        <v>2</v>
      </c>
      <c r="N6" s="15">
        <f>IFERROR(INDEX('Lookup Tables'!$B$6:$B$14,MATCH(B6,'Lookup Tables'!$A$6:$A$14,0)),"-")</f>
        <v/>
      </c>
      <c r="O6" s="13" t="n">
        <v>0.2</v>
      </c>
    </row>
    <row r="7" outlineLevel="1" ht="20" customHeight="1">
      <c r="A7" s="20" t="inlineStr">
        <is>
          <t>Mar-26</t>
        </is>
      </c>
      <c r="B7" s="20" t="inlineStr">
        <is>
          <t>Civil</t>
        </is>
      </c>
      <c r="C7" s="20" t="n">
        <v>1400</v>
      </c>
      <c r="D7" s="20" t="n">
        <v>1450</v>
      </c>
      <c r="E7" s="42" t="n">
        <v>0.55</v>
      </c>
      <c r="F7" s="42" t="n">
        <v>0.53</v>
      </c>
      <c r="G7" s="29" t="n">
        <v>318000</v>
      </c>
      <c r="H7" s="29" t="n">
        <v>330000</v>
      </c>
      <c r="I7" s="43">
        <f>IFERROR((F7-E7)/E7,0)</f>
        <v/>
      </c>
      <c r="J7" s="43">
        <f>IFERROR((G7-H7)/H7,0)</f>
        <v/>
      </c>
      <c r="K7" s="20" t="inlineStr">
        <is>
          <t>Pile caps Zone A poured</t>
        </is>
      </c>
      <c r="L7" s="20" t="inlineStr">
        <is>
          <t>Formwork shortage — mitigated</t>
        </is>
      </c>
      <c r="M7" s="20" t="n">
        <v>1</v>
      </c>
      <c r="N7" s="20">
        <f>IFERROR(INDEX('Lookup Tables'!$B$6:$B$14,MATCH(B7,'Lookup Tables'!$A$6:$A$14,0)),"-")</f>
        <v/>
      </c>
      <c r="O7" s="18" t="n">
        <v>0.5900000000000001</v>
      </c>
    </row>
    <row r="8" outlineLevel="1" ht="20" customHeight="1">
      <c r="A8" s="15" t="inlineStr">
        <is>
          <t>Mar-26</t>
        </is>
      </c>
      <c r="B8" s="15" t="inlineStr">
        <is>
          <t>Structural</t>
        </is>
      </c>
      <c r="C8" s="15" t="n">
        <v>1200</v>
      </c>
      <c r="D8" s="15" t="n">
        <v>1150</v>
      </c>
      <c r="E8" s="40" t="n">
        <v>0.5</v>
      </c>
      <c r="F8" s="40" t="n">
        <v>0.52</v>
      </c>
      <c r="G8" s="27" t="n">
        <v>312000</v>
      </c>
      <c r="H8" s="27" t="n">
        <v>300000</v>
      </c>
      <c r="I8" s="41">
        <f>IFERROR((F8-E8)/E8,0)</f>
        <v/>
      </c>
      <c r="J8" s="41">
        <f>IFERROR((G8-H8)/H8,0)</f>
        <v/>
      </c>
      <c r="K8" s="15" t="inlineStr">
        <is>
          <t>Level 1 steel erection complete</t>
        </is>
      </c>
      <c r="L8" s="15" t="inlineStr"/>
      <c r="M8" s="15" t="n">
        <v>1</v>
      </c>
      <c r="N8" s="15">
        <f>IFERROR(INDEX('Lookup Tables'!$B$6:$B$14,MATCH(B8,'Lookup Tables'!$A$6:$A$14,0)),"-")</f>
        <v/>
      </c>
      <c r="O8" s="13" t="n">
        <v>0.5800000000000001</v>
      </c>
    </row>
    <row r="9" outlineLevel="1" ht="20" customHeight="1">
      <c r="A9" s="20" t="inlineStr">
        <is>
          <t>Mar-26</t>
        </is>
      </c>
      <c r="B9" s="20" t="inlineStr">
        <is>
          <t>Electrical</t>
        </is>
      </c>
      <c r="C9" s="20" t="n">
        <v>600</v>
      </c>
      <c r="D9" s="20" t="n">
        <v>580</v>
      </c>
      <c r="E9" s="42" t="n">
        <v>0.3</v>
      </c>
      <c r="F9" s="42" t="n">
        <v>0.28</v>
      </c>
      <c r="G9" s="29" t="n">
        <v>84000</v>
      </c>
      <c r="H9" s="29" t="n">
        <v>90000</v>
      </c>
      <c r="I9" s="43">
        <f>IFERROR((F9-E9)/E9,0)</f>
        <v/>
      </c>
      <c r="J9" s="43">
        <f>IFERROR((G9-H9)/H9,0)</f>
        <v/>
      </c>
      <c r="K9" s="20" t="inlineStr">
        <is>
          <t>HV cable tray 60% installed</t>
        </is>
      </c>
      <c r="L9" s="20" t="inlineStr"/>
      <c r="M9" s="20" t="n">
        <v>1</v>
      </c>
      <c r="N9" s="20">
        <f>IFERROR(INDEX('Lookup Tables'!$B$6:$B$14,MATCH(B9,'Lookup Tables'!$A$6:$A$14,0)),"-")</f>
        <v/>
      </c>
      <c r="O9" s="18" t="n">
        <v>0.34</v>
      </c>
    </row>
    <row r="10" outlineLevel="1" ht="20" customHeight="1">
      <c r="A10" s="15" t="inlineStr">
        <is>
          <t>Mar-26</t>
        </is>
      </c>
      <c r="B10" s="15" t="inlineStr">
        <is>
          <t>Mechanical</t>
        </is>
      </c>
      <c r="C10" s="15" t="n">
        <v>500</v>
      </c>
      <c r="D10" s="15" t="n">
        <v>490</v>
      </c>
      <c r="E10" s="40" t="n">
        <v>0.25</v>
      </c>
      <c r="F10" s="40" t="n">
        <v>0.26</v>
      </c>
      <c r="G10" s="27" t="n">
        <v>65000</v>
      </c>
      <c r="H10" s="27" t="n">
        <v>62500</v>
      </c>
      <c r="I10" s="41">
        <f>IFERROR((F10-E10)/E10,0)</f>
        <v/>
      </c>
      <c r="J10" s="41">
        <f>IFERROR((G10-H10)/H10,0)</f>
        <v/>
      </c>
      <c r="K10" s="15" t="inlineStr">
        <is>
          <t>Pump skids P1–P4 set</t>
        </is>
      </c>
      <c r="L10" s="15" t="inlineStr"/>
      <c r="M10" s="15" t="n">
        <v>0</v>
      </c>
      <c r="N10" s="15">
        <f>IFERROR(INDEX('Lookup Tables'!$B$6:$B$14,MATCH(B10,'Lookup Tables'!$A$6:$A$14,0)),"-")</f>
        <v/>
      </c>
      <c r="O10" s="13" t="n">
        <v>0.32</v>
      </c>
    </row>
    <row r="11" outlineLevel="1" ht="20" customHeight="1">
      <c r="A11" s="20" t="inlineStr">
        <is>
          <t>Mar-26</t>
        </is>
      </c>
      <c r="B11" s="20" t="inlineStr">
        <is>
          <t>Piping</t>
        </is>
      </c>
      <c r="C11" s="20" t="n">
        <v>800</v>
      </c>
      <c r="D11" s="20" t="n">
        <v>820</v>
      </c>
      <c r="E11" s="42" t="n">
        <v>0.35</v>
      </c>
      <c r="F11" s="42" t="n">
        <v>0.38</v>
      </c>
      <c r="G11" s="29" t="n">
        <v>152000</v>
      </c>
      <c r="H11" s="29" t="n">
        <v>140000</v>
      </c>
      <c r="I11" s="43">
        <f>IFERROR((F11-E11)/E11,0)</f>
        <v/>
      </c>
      <c r="J11" s="43">
        <f>IFERROR((G11-H11)/H11,0)</f>
        <v/>
      </c>
      <c r="K11" s="20" t="inlineStr">
        <is>
          <t>Fabrication complete; inst. started</t>
        </is>
      </c>
      <c r="L11" s="20" t="inlineStr"/>
      <c r="M11" s="20" t="n">
        <v>0</v>
      </c>
      <c r="N11" s="20">
        <f>IFERROR(INDEX('Lookup Tables'!$B$6:$B$14,MATCH(B11,'Lookup Tables'!$A$6:$A$14,0)),"-")</f>
        <v/>
      </c>
      <c r="O11" s="18" t="n">
        <v>0.44</v>
      </c>
    </row>
    <row r="12" outlineLevel="1" ht="20" customHeight="1">
      <c r="A12" s="15" t="inlineStr">
        <is>
          <t>Apr-26</t>
        </is>
      </c>
      <c r="B12" s="15" t="inlineStr">
        <is>
          <t>Civil</t>
        </is>
      </c>
      <c r="C12" s="15" t="n">
        <v>1600</v>
      </c>
      <c r="D12" s="15" t="n">
        <v>1580</v>
      </c>
      <c r="E12" s="40" t="n">
        <v>0.72</v>
      </c>
      <c r="F12" s="40" t="n">
        <v>0.68</v>
      </c>
      <c r="G12" s="27" t="n">
        <v>408000</v>
      </c>
      <c r="H12" s="27" t="n">
        <v>432000</v>
      </c>
      <c r="I12" s="41">
        <f>IFERROR((F12-E12)/E12,0)</f>
        <v/>
      </c>
      <c r="J12" s="41">
        <f>IFERROR((G12-H12)/H12,0)</f>
        <v/>
      </c>
      <c r="K12" s="15" t="inlineStr">
        <is>
          <t>Zone B concrete pours started</t>
        </is>
      </c>
      <c r="L12" s="15" t="inlineStr">
        <is>
          <t>2-day delay — road restrictions</t>
        </is>
      </c>
      <c r="M12" s="15" t="n">
        <v>3</v>
      </c>
      <c r="N12" s="15">
        <f>IFERROR(INDEX('Lookup Tables'!$B$6:$B$14,MATCH(B12,'Lookup Tables'!$A$6:$A$14,0)),"-")</f>
        <v/>
      </c>
      <c r="O12" s="13" t="n">
        <v>0.74</v>
      </c>
    </row>
    <row r="13" outlineLevel="1" ht="20" customHeight="1">
      <c r="A13" s="20" t="inlineStr">
        <is>
          <t>Apr-26</t>
        </is>
      </c>
      <c r="B13" s="20" t="inlineStr">
        <is>
          <t>Structural</t>
        </is>
      </c>
      <c r="C13" s="20" t="n">
        <v>1400</v>
      </c>
      <c r="D13" s="20" t="n">
        <v>1390</v>
      </c>
      <c r="E13" s="42" t="n">
        <v>0.65</v>
      </c>
      <c r="F13" s="42" t="n">
        <v>0.7</v>
      </c>
      <c r="G13" s="29" t="n">
        <v>490000</v>
      </c>
      <c r="H13" s="29" t="n">
        <v>455000</v>
      </c>
      <c r="I13" s="43">
        <f>IFERROR((F13-E13)/E13,0)</f>
        <v/>
      </c>
      <c r="J13" s="43">
        <f>IFERROR((G13-H13)/H13,0)</f>
        <v/>
      </c>
      <c r="K13" s="20" t="inlineStr">
        <is>
          <t>Mezzanine steelwork in progress</t>
        </is>
      </c>
      <c r="L13" s="20" t="inlineStr"/>
      <c r="M13" s="20" t="n">
        <v>0</v>
      </c>
      <c r="N13" s="20">
        <f>IFERROR(INDEX('Lookup Tables'!$B$6:$B$14,MATCH(B13,'Lookup Tables'!$A$6:$A$14,0)),"-")</f>
        <v/>
      </c>
      <c r="O13" s="18" t="n">
        <v>0.76</v>
      </c>
    </row>
    <row r="14" outlineLevel="1" ht="20" customHeight="1">
      <c r="A14" s="15" t="inlineStr">
        <is>
          <t>Apr-26</t>
        </is>
      </c>
      <c r="B14" s="15" t="inlineStr">
        <is>
          <t>Electrical</t>
        </is>
      </c>
      <c r="C14" s="15" t="n">
        <v>900</v>
      </c>
      <c r="D14" s="15" t="n">
        <v>870</v>
      </c>
      <c r="E14" s="40" t="n">
        <v>0.55</v>
      </c>
      <c r="F14" s="40" t="n">
        <v>0.52</v>
      </c>
      <c r="G14" s="27" t="n">
        <v>234000</v>
      </c>
      <c r="H14" s="27" t="n">
        <v>247500</v>
      </c>
      <c r="I14" s="41">
        <f>IFERROR((F14-E14)/E14,0)</f>
        <v/>
      </c>
      <c r="J14" s="41">
        <f>IFERROR((G14-H14)/H14,0)</f>
        <v/>
      </c>
      <c r="K14" s="15" t="inlineStr">
        <is>
          <t>LV panel wiring started</t>
        </is>
      </c>
      <c r="L14" s="15" t="inlineStr">
        <is>
          <t>NCR on cable tray spacing</t>
        </is>
      </c>
      <c r="M14" s="15" t="n">
        <v>0</v>
      </c>
      <c r="N14" s="15">
        <f>IFERROR(INDEX('Lookup Tables'!$B$6:$B$14,MATCH(B14,'Lookup Tables'!$A$6:$A$14,0)),"-")</f>
        <v/>
      </c>
      <c r="O14" s="13" t="n">
        <v>0.5800000000000001</v>
      </c>
    </row>
    <row r="15" outlineLevel="1" ht="20" customHeight="1">
      <c r="A15" s="20" t="inlineStr">
        <is>
          <t>Apr-26</t>
        </is>
      </c>
      <c r="B15" s="20" t="inlineStr">
        <is>
          <t>Mechanical</t>
        </is>
      </c>
      <c r="C15" s="20" t="n">
        <v>700</v>
      </c>
      <c r="D15" s="20" t="n">
        <v>690</v>
      </c>
      <c r="E15" s="42" t="n">
        <v>0.48</v>
      </c>
      <c r="F15" s="42" t="n">
        <v>0.48</v>
      </c>
      <c r="G15" s="29" t="n">
        <v>168000</v>
      </c>
      <c r="H15" s="29" t="n">
        <v>168000</v>
      </c>
      <c r="I15" s="43">
        <f>IFERROR((F15-E15)/E15,0)</f>
        <v/>
      </c>
      <c r="J15" s="43">
        <f>IFERROR((G15-H15)/H15,0)</f>
        <v/>
      </c>
      <c r="K15" s="20" t="inlineStr">
        <is>
          <t>All pump equipment on site</t>
        </is>
      </c>
      <c r="L15" s="20" t="inlineStr">
        <is>
          <t>Alignment NCR P-203</t>
        </is>
      </c>
      <c r="M15" s="20" t="n">
        <v>0</v>
      </c>
      <c r="N15" s="20">
        <f>IFERROR(INDEX('Lookup Tables'!$B$6:$B$14,MATCH(B15,'Lookup Tables'!$A$6:$A$14,0)),"-")</f>
        <v/>
      </c>
      <c r="O15" s="18" t="n">
        <v>0.54</v>
      </c>
    </row>
    <row r="16" outlineLevel="1" ht="20" customHeight="1">
      <c r="A16" s="15" t="inlineStr">
        <is>
          <t>Apr-26</t>
        </is>
      </c>
      <c r="B16" s="15" t="inlineStr">
        <is>
          <t>Instrumentation</t>
        </is>
      </c>
      <c r="C16" s="15" t="n">
        <v>500</v>
      </c>
      <c r="D16" s="15" t="n">
        <v>490</v>
      </c>
      <c r="E16" s="40" t="n">
        <v>0.35</v>
      </c>
      <c r="F16" s="40" t="n">
        <v>0.33</v>
      </c>
      <c r="G16" s="27" t="n">
        <v>82500</v>
      </c>
      <c r="H16" s="27" t="n">
        <v>87500</v>
      </c>
      <c r="I16" s="41">
        <f>IFERROR((F16-E16)/E16,0)</f>
        <v/>
      </c>
      <c r="J16" s="41">
        <f>IFERROR((G16-H16)/H16,0)</f>
        <v/>
      </c>
      <c r="K16" s="15" t="inlineStr">
        <is>
          <t>Loop drawings reviewed — 80%</t>
        </is>
      </c>
      <c r="L16" s="15" t="inlineStr">
        <is>
          <t>Thermocouple type error</t>
        </is>
      </c>
      <c r="M16" s="15" t="n">
        <v>1</v>
      </c>
      <c r="N16" s="15">
        <f>IFERROR(INDEX('Lookup Tables'!$B$6:$B$14,MATCH(B16,'Lookup Tables'!$A$6:$A$14,0)),"-")</f>
        <v/>
      </c>
      <c r="O16" s="13" t="n">
        <v>0.39</v>
      </c>
    </row>
    <row r="17" outlineLevel="1" ht="20" customHeight="1">
      <c r="A17" s="20" t="inlineStr">
        <is>
          <t>Apr-26</t>
        </is>
      </c>
      <c r="B17" s="20" t="inlineStr">
        <is>
          <t>Piping</t>
        </is>
      </c>
      <c r="C17" s="20" t="n">
        <v>1000</v>
      </c>
      <c r="D17" s="20" t="n">
        <v>980</v>
      </c>
      <c r="E17" s="42" t="n">
        <v>0.6</v>
      </c>
      <c r="F17" s="42" t="n">
        <v>0.62</v>
      </c>
      <c r="G17" s="29" t="n">
        <v>310000</v>
      </c>
      <c r="H17" s="29" t="n">
        <v>300000</v>
      </c>
      <c r="I17" s="43">
        <f>IFERROR((F17-E17)/E17,0)</f>
        <v/>
      </c>
      <c r="J17" s="43">
        <f>IFERROR((G17-H17)/H17,0)</f>
        <v/>
      </c>
      <c r="K17" s="20" t="inlineStr">
        <is>
          <t>Hydro test P-101 complete</t>
        </is>
      </c>
      <c r="L17" s="20" t="inlineStr"/>
      <c r="M17" s="20" t="n">
        <v>1</v>
      </c>
      <c r="N17" s="20">
        <f>IFERROR(INDEX('Lookup Tables'!$B$6:$B$14,MATCH(B17,'Lookup Tables'!$A$6:$A$14,0)),"-")</f>
        <v/>
      </c>
      <c r="O17" s="18" t="n">
        <v>0.6799999999999999</v>
      </c>
    </row>
    <row r="18" outlineLevel="1" ht="20" customHeight="1">
      <c r="A18" s="15" t="inlineStr">
        <is>
          <t>Apr-26</t>
        </is>
      </c>
      <c r="B18" s="15" t="inlineStr">
        <is>
          <t>HVAC</t>
        </is>
      </c>
      <c r="C18" s="15" t="n">
        <v>600</v>
      </c>
      <c r="D18" s="15" t="n">
        <v>580</v>
      </c>
      <c r="E18" s="40" t="n">
        <v>0.4</v>
      </c>
      <c r="F18" s="40" t="n">
        <v>0.38</v>
      </c>
      <c r="G18" s="27" t="n">
        <v>114000</v>
      </c>
      <c r="H18" s="27" t="n">
        <v>120000</v>
      </c>
      <c r="I18" s="41">
        <f>IFERROR((F18-E18)/E18,0)</f>
        <v/>
      </c>
      <c r="J18" s="41">
        <f>IFERROR((G18-H18)/H18,0)</f>
        <v/>
      </c>
      <c r="K18" s="15" t="inlineStr">
        <is>
          <t>Ductwork 60% fabricated</t>
        </is>
      </c>
      <c r="L18" s="15" t="inlineStr">
        <is>
          <t>Duct insulation NCR</t>
        </is>
      </c>
      <c r="M18" s="15" t="n">
        <v>0</v>
      </c>
      <c r="N18" s="15">
        <f>IFERROR(INDEX('Lookup Tables'!$B$6:$B$14,MATCH(B18,'Lookup Tables'!$A$6:$A$14,0)),"-")</f>
        <v/>
      </c>
      <c r="O18" s="13" t="n">
        <v>0.44</v>
      </c>
    </row>
    <row r="19" outlineLevel="1" ht="20" customHeight="1">
      <c r="A19" s="20" t="inlineStr">
        <is>
          <t>Apr-26</t>
        </is>
      </c>
      <c r="B19" s="20" t="inlineStr">
        <is>
          <t>Scaffolding</t>
        </is>
      </c>
      <c r="C19" s="20" t="n">
        <v>300</v>
      </c>
      <c r="D19" s="20" t="n">
        <v>295</v>
      </c>
      <c r="E19" s="42" t="n">
        <v>0.8</v>
      </c>
      <c r="F19" s="42" t="n">
        <v>0.82</v>
      </c>
      <c r="G19" s="29" t="n">
        <v>73800</v>
      </c>
      <c r="H19" s="29" t="n">
        <v>72000</v>
      </c>
      <c r="I19" s="43">
        <f>IFERROR((F19-E19)/E19,0)</f>
        <v/>
      </c>
      <c r="J19" s="43">
        <f>IFERROR((G19-H19)/H19,0)</f>
        <v/>
      </c>
      <c r="K19" s="20" t="inlineStr">
        <is>
          <t>All active scaffolding inspected</t>
        </is>
      </c>
      <c r="L19" s="20" t="inlineStr"/>
      <c r="M19" s="20" t="n">
        <v>1</v>
      </c>
      <c r="N19" s="20">
        <f>IFERROR(INDEX('Lookup Tables'!$B$6:$B$14,MATCH(B19,'Lookup Tables'!$A$6:$A$14,0)),"-")</f>
        <v/>
      </c>
      <c r="O19" s="18" t="n">
        <v>0.8799999999999999</v>
      </c>
    </row>
    <row r="22" ht="22" customHeight="1">
      <c r="A22" s="3" t="inlineStr">
        <is>
          <t>MONTHLY EARNED VALUE ANALYSIS  ·  Data sourced from DASHBOARD SUMIFS (cross-sheet reference)</t>
        </is>
      </c>
    </row>
  </sheetData>
  <autoFilter ref="A3:O3"/>
  <mergeCells count="3">
    <mergeCell ref="A22:O22"/>
    <mergeCell ref="A1:O1"/>
    <mergeCell ref="A2:O2"/>
  </mergeCells>
  <conditionalFormatting sqref="I4:I19">
    <cfRule type="expression" priority="1" dxfId="3">
      <formula>$I4&lt;0</formula>
    </cfRule>
    <cfRule type="expression" priority="2" dxfId="4">
      <formula>$I4&gt;0</formula>
    </cfRule>
  </conditionalFormatting>
  <conditionalFormatting sqref="J4:J19">
    <cfRule type="expression" priority="3" dxfId="3">
      <formula>$J4&lt;0</formula>
    </cfRule>
    <cfRule type="expression" priority="4" dxfId="4">
      <formula>$J4&gt;0</formula>
    </cfRule>
  </conditionalFormatting>
  <conditionalFormatting sqref="F4:F19">
    <cfRule type="dataBar" priority="5">
      <dataBar>
        <cfvo type="num" val="0"/>
        <cfvo type="num" val="1"/>
        <color rgb="002563EB"/>
      </dataBar>
    </cfRule>
  </conditionalFormatting>
  <dataValidations count="5">
    <dataValidation sqref="B4:B19" showDropDown="0" showInputMessage="1" showErrorMessage="1" allowBlank="1" errorTitle="Invalid Selection" error="Choose a value from the dropdown list" promptTitle="Discipline" prompt="Select discipline from dropdown" type="list">
      <formula1>'Lookup Tables'!$A$6:$A$14</formula1>
    </dataValidation>
    <dataValidation sqref="E4:E19" showDropDown="0" showInputMessage="1" showErrorMessage="1" allowBlank="1" errorTitle="Out of Range" error="Enter a decimal between 0.0 and 1.0  (e.g. 0.75 = 75%)" promptTitle="Planned Progress %" prompt="Planned completion % this month (decimal)&#10;  0.50 = 50%&#10;  1.00 = 100%" type="decimal" operator="between">
      <formula1>0.0</formula1>
      <formula2>1.0</formula2>
    </dataValidation>
    <dataValidation sqref="F4:F19" showDropDown="0" showInputMessage="1" showErrorMessage="1" allowBlank="1" errorTitle="Out of Range" error="Enter a decimal between 0.0 and 1.0  (e.g. 0.75 = 75%)" promptTitle="Actual Progress %" prompt="Actual completion % achieved this month (decimal)" type="decimal" operator="between">
      <formula1>0.0</formula1>
      <formula2>1.0</formula2>
    </dataValidation>
    <dataValidation sqref="C4:C19" showDropDown="0" showInputMessage="1" showErrorMessage="1" allowBlank="1" errorTitle="Invalid Number" error="Enter a whole number between 0 and 99999" promptTitle="Budgeted Hours" prompt="Total budgeted man-hours for this discipline this month" type="whole" operator="between">
      <formula1>0</formula1>
      <formula2>99999</formula2>
    </dataValidation>
    <dataValidation sqref="D4:D19" showDropDown="0" showInputMessage="1" showErrorMessage="1" allowBlank="1" errorTitle="Invalid Number" error="Enter a whole number between 0 and 99999" promptTitle="Actual Hours" prompt="Total actual man-hours spent this month" type="whole" operator="between">
      <formula1>0</formula1>
      <formula2>99999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001E293B"/>
    <outlinePr summaryBelow="1" summaryRight="1"/>
    <pageSetUpPr fitToPage="1"/>
  </sheetPr>
  <dimension ref="A1:K1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6" customWidth="1" min="4" max="4"/>
    <col width="16" customWidth="1" min="5" max="5"/>
    <col width="50" customWidth="1" min="6" max="6"/>
    <col width="14" customWidth="1" min="7" max="7"/>
    <col width="10" customWidth="1" min="8" max="8"/>
    <col width="46" customWidth="1" min="9" max="9"/>
    <col width="11" customWidth="1" min="10" max="10"/>
    <col width="13" customWidth="1" min="11" max="11"/>
  </cols>
  <sheetData>
    <row r="1" ht="40" customHeight="1">
      <c r="A1" s="1" t="inlineStr">
        <is>
          <t>DATA VALIDATION &amp; QUALITY LOG</t>
        </is>
      </c>
    </row>
    <row r="2" ht="40" customHeight="1">
      <c r="A2" s="44" t="inlineStr">
        <is>
          <t>PURPOSE: Log all data quality issues found during weekly/monthly validation sweeps. Every anomaly must be logged before correction to maintain a full audit trail. All Open items must be resolved before submission to client reporting.</t>
        </is>
      </c>
    </row>
    <row r="3"/>
    <row r="4" ht="26" customHeight="1">
      <c r="A4" s="11" t="inlineStr">
        <is>
          <t>Log ID</t>
        </is>
      </c>
      <c r="B4" s="11" t="inlineStr">
        <is>
          <t>Date Found</t>
        </is>
      </c>
      <c r="C4" s="11" t="inlineStr">
        <is>
          <t>Data Source</t>
        </is>
      </c>
      <c r="D4" s="11" t="inlineStr">
        <is>
          <t>Field / Column</t>
        </is>
      </c>
      <c r="E4" s="11" t="inlineStr">
        <is>
          <t>Error Type</t>
        </is>
      </c>
      <c r="F4" s="11" t="inlineStr">
        <is>
          <t>Error Description</t>
        </is>
      </c>
      <c r="G4" s="11" t="inlineStr">
        <is>
          <t>Responsible</t>
        </is>
      </c>
      <c r="H4" s="11" t="inlineStr">
        <is>
          <t>Severity</t>
        </is>
      </c>
      <c r="I4" s="11" t="inlineStr">
        <is>
          <t>Action Taken</t>
        </is>
      </c>
      <c r="J4" s="11" t="inlineStr">
        <is>
          <t>Status</t>
        </is>
      </c>
      <c r="K4" s="11" t="inlineStr">
        <is>
          <t>Date Resolved</t>
        </is>
      </c>
    </row>
    <row r="5" ht="20" customHeight="1">
      <c r="A5" s="15" t="inlineStr">
        <is>
          <t>VAL-001</t>
        </is>
      </c>
      <c r="B5" s="31" t="n">
        <v>46140</v>
      </c>
      <c r="C5" s="15" t="inlineStr">
        <is>
          <t>Weekly Progress</t>
        </is>
      </c>
      <c r="D5" s="15" t="inlineStr">
        <is>
          <t>Actual %</t>
        </is>
      </c>
      <c r="E5" s="24" t="inlineStr">
        <is>
          <t>Missing Data</t>
        </is>
      </c>
      <c r="F5" s="15" t="inlineStr">
        <is>
          <t>Actual % not entered for Instrumentation W17</t>
        </is>
      </c>
      <c r="G5" s="15" t="inlineStr">
        <is>
          <t>T. Eriksson</t>
        </is>
      </c>
      <c r="H5" s="24" t="inlineStr">
        <is>
          <t>High</t>
        </is>
      </c>
      <c r="I5" s="15" t="inlineStr">
        <is>
          <t>Followed up; data entered same day</t>
        </is>
      </c>
      <c r="J5" s="25" t="inlineStr">
        <is>
          <t>Resolved</t>
        </is>
      </c>
      <c r="K5" s="31" t="n">
        <v>46140</v>
      </c>
    </row>
    <row r="6" ht="20" customHeight="1">
      <c r="A6" s="20" t="inlineStr">
        <is>
          <t>VAL-002</t>
        </is>
      </c>
      <c r="B6" s="32" t="n">
        <v>46140</v>
      </c>
      <c r="C6" s="20" t="inlineStr">
        <is>
          <t>Risk Register</t>
        </is>
      </c>
      <c r="D6" s="20" t="inlineStr">
        <is>
          <t>Review Date</t>
        </is>
      </c>
      <c r="E6" s="35" t="inlineStr">
        <is>
          <t>Stale Data</t>
        </is>
      </c>
      <c r="F6" s="20" t="inlineStr">
        <is>
          <t>6 risks with review date passed — not updated for 2+ weeks</t>
        </is>
      </c>
      <c r="G6" s="20" t="inlineStr">
        <is>
          <t>S. Patel</t>
        </is>
      </c>
      <c r="H6" s="23" t="inlineStr">
        <is>
          <t>Medium</t>
        </is>
      </c>
      <c r="I6" s="20" t="inlineStr">
        <is>
          <t>All owners notified; register updated W18</t>
        </is>
      </c>
      <c r="J6" s="25" t="inlineStr">
        <is>
          <t>Resolved</t>
        </is>
      </c>
      <c r="K6" s="32" t="n">
        <v>46141</v>
      </c>
    </row>
    <row r="7" ht="20" customHeight="1">
      <c r="A7" s="15" t="inlineStr">
        <is>
          <t>VAL-003</t>
        </is>
      </c>
      <c r="B7" s="31" t="n">
        <v>46141</v>
      </c>
      <c r="C7" s="15" t="inlineStr">
        <is>
          <t>Action Item Log</t>
        </is>
      </c>
      <c r="D7" s="15" t="inlineStr">
        <is>
          <t>Due Date</t>
        </is>
      </c>
      <c r="E7" s="24" t="inlineStr">
        <is>
          <t>Missing Data</t>
        </is>
      </c>
      <c r="F7" s="15" t="inlineStr">
        <is>
          <t>3 actions with no due date assigned</t>
        </is>
      </c>
      <c r="G7" s="15" t="inlineStr">
        <is>
          <t>J. Hansen</t>
        </is>
      </c>
      <c r="H7" s="24" t="inlineStr">
        <is>
          <t>High</t>
        </is>
      </c>
      <c r="I7" s="15" t="inlineStr">
        <is>
          <t>Dates confirmed in coord meeting W18</t>
        </is>
      </c>
      <c r="J7" s="25" t="inlineStr">
        <is>
          <t>Resolved</t>
        </is>
      </c>
      <c r="K7" s="31" t="n">
        <v>46141</v>
      </c>
    </row>
    <row r="8" ht="20" customHeight="1">
      <c r="A8" s="20" t="inlineStr">
        <is>
          <t>VAL-004</t>
        </is>
      </c>
      <c r="B8" s="32" t="n">
        <v>46141</v>
      </c>
      <c r="C8" s="20" t="inlineStr">
        <is>
          <t>Monthly Report</t>
        </is>
      </c>
      <c r="D8" s="20" t="inlineStr">
        <is>
          <t>Actual Hours</t>
        </is>
      </c>
      <c r="E8" s="22" t="inlineStr">
        <is>
          <t>Out of Range</t>
        </is>
      </c>
      <c r="F8" s="20" t="inlineStr">
        <is>
          <t>HVAC actual hours 5200 entered (budget 600) — data entry error</t>
        </is>
      </c>
      <c r="G8" s="20" t="inlineStr">
        <is>
          <t>L. Andersen</t>
        </is>
      </c>
      <c r="H8" s="22" t="inlineStr">
        <is>
          <t>Critical</t>
        </is>
      </c>
      <c r="I8" s="20" t="inlineStr">
        <is>
          <t>Corrected to 580h; source timesheet confirmed</t>
        </is>
      </c>
      <c r="J8" s="25" t="inlineStr">
        <is>
          <t>Resolved</t>
        </is>
      </c>
      <c r="K8" s="32" t="n">
        <v>46142</v>
      </c>
    </row>
    <row r="9" ht="20" customHeight="1">
      <c r="A9" s="15" t="inlineStr">
        <is>
          <t>VAL-005</t>
        </is>
      </c>
      <c r="B9" s="31" t="n">
        <v>46142</v>
      </c>
      <c r="C9" s="15" t="inlineStr">
        <is>
          <t>NCR Tracker</t>
        </is>
      </c>
      <c r="D9" s="15" t="inlineStr">
        <is>
          <t>Root Cause</t>
        </is>
      </c>
      <c r="E9" s="24" t="inlineStr">
        <is>
          <t>Missing Data</t>
        </is>
      </c>
      <c r="F9" s="15" t="inlineStr">
        <is>
          <t>NCR-008, 009, 010 missing root cause entries</t>
        </is>
      </c>
      <c r="G9" s="15" t="inlineStr">
        <is>
          <t>M. Berg</t>
        </is>
      </c>
      <c r="H9" s="23" t="inlineStr">
        <is>
          <t>Medium</t>
        </is>
      </c>
      <c r="I9" s="15" t="inlineStr">
        <is>
          <t>Root causes added after investigation reports</t>
        </is>
      </c>
      <c r="J9" s="25" t="inlineStr">
        <is>
          <t>Resolved</t>
        </is>
      </c>
      <c r="K9" s="31" t="n">
        <v>46143</v>
      </c>
    </row>
    <row r="10" ht="20" customHeight="1">
      <c r="A10" s="20" t="inlineStr">
        <is>
          <t>VAL-006</t>
        </is>
      </c>
      <c r="B10" s="32" t="n">
        <v>46142</v>
      </c>
      <c r="C10" s="20" t="inlineStr">
        <is>
          <t>Weekly Progress</t>
        </is>
      </c>
      <c r="D10" s="20" t="inlineStr">
        <is>
          <t>Week No.</t>
        </is>
      </c>
      <c r="E10" s="35" t="inlineStr">
        <is>
          <t>Wrong Format</t>
        </is>
      </c>
      <c r="F10" s="20" t="inlineStr">
        <is>
          <t>Week entered as '18W' instead of integer 18</t>
        </is>
      </c>
      <c r="G10" s="20" t="inlineStr">
        <is>
          <t>R. Kowalski</t>
        </is>
      </c>
      <c r="H10" s="35" t="inlineStr">
        <is>
          <t>Low</t>
        </is>
      </c>
      <c r="I10" s="20" t="inlineStr">
        <is>
          <t>Corrected; format reminder sent to all leads</t>
        </is>
      </c>
      <c r="J10" s="25" t="inlineStr">
        <is>
          <t>Resolved</t>
        </is>
      </c>
      <c r="K10" s="32" t="n">
        <v>46143</v>
      </c>
    </row>
    <row r="11" ht="20" customHeight="1">
      <c r="A11" s="15" t="inlineStr">
        <is>
          <t>VAL-007</t>
        </is>
      </c>
      <c r="B11" s="31" t="n">
        <v>46143</v>
      </c>
      <c r="C11" s="15" t="inlineStr">
        <is>
          <t>Monthly Report</t>
        </is>
      </c>
      <c r="D11" s="15" t="inlineStr">
        <is>
          <t>EV Calc</t>
        </is>
      </c>
      <c r="E11" s="22" t="inlineStr">
        <is>
          <t>Logic Error</t>
        </is>
      </c>
      <c r="F11" s="15" t="inlineStr">
        <is>
          <t>Earned Value = −12000 for Piping Feb-26 — formula error</t>
        </is>
      </c>
      <c r="G11" s="15" t="inlineStr">
        <is>
          <t>S. Patel</t>
        </is>
      </c>
      <c r="H11" s="24" t="inlineStr">
        <is>
          <t>High</t>
        </is>
      </c>
      <c r="I11" s="15" t="inlineStr">
        <is>
          <t>Formula corrected; cross-checked against cost plan</t>
        </is>
      </c>
      <c r="J11" s="25" t="inlineStr">
        <is>
          <t>Resolved</t>
        </is>
      </c>
      <c r="K11" s="31" t="n">
        <v>46143</v>
      </c>
    </row>
    <row r="12" ht="20" customHeight="1">
      <c r="A12" s="20" t="inlineStr">
        <is>
          <t>VAL-008</t>
        </is>
      </c>
      <c r="B12" s="32" t="n">
        <v>46144</v>
      </c>
      <c r="C12" s="20" t="inlineStr">
        <is>
          <t>Action Item Log</t>
        </is>
      </c>
      <c r="D12" s="20" t="inlineStr">
        <is>
          <t>Status</t>
        </is>
      </c>
      <c r="E12" s="35" t="inlineStr">
        <is>
          <t>Stale Data</t>
        </is>
      </c>
      <c r="F12" s="20" t="inlineStr">
        <is>
          <t>4 actions marked Open with due date passed</t>
        </is>
      </c>
      <c r="G12" s="20" t="inlineStr">
        <is>
          <t>J. Hansen</t>
        </is>
      </c>
      <c r="H12" s="24" t="inlineStr">
        <is>
          <t>High</t>
        </is>
      </c>
      <c r="I12" s="20" t="inlineStr">
        <is>
          <t>Status updated to Overdue; owners notified</t>
        </is>
      </c>
      <c r="J12" s="25" t="inlineStr">
        <is>
          <t>Resolved</t>
        </is>
      </c>
      <c r="K12" s="32" t="n">
        <v>46144</v>
      </c>
    </row>
    <row r="13" ht="20" customHeight="1">
      <c r="A13" s="15" t="inlineStr">
        <is>
          <t>VAL-009</t>
        </is>
      </c>
      <c r="B13" s="31" t="n">
        <v>46145</v>
      </c>
      <c r="C13" s="15" t="inlineStr">
        <is>
          <t>Risk Register</t>
        </is>
      </c>
      <c r="D13" s="15" t="inlineStr">
        <is>
          <t>Risk Score</t>
        </is>
      </c>
      <c r="E13" s="22" t="inlineStr">
        <is>
          <t>Logic Error</t>
        </is>
      </c>
      <c r="F13" s="15" t="inlineStr">
        <is>
          <t>RSK-006 score = 0 — Probability and Impact were blank</t>
        </is>
      </c>
      <c r="G13" s="15" t="inlineStr">
        <is>
          <t>S. Patel</t>
        </is>
      </c>
      <c r="H13" s="23" t="inlineStr">
        <is>
          <t>Medium</t>
        </is>
      </c>
      <c r="I13" s="15" t="inlineStr">
        <is>
          <t>Values entered; level updated to Medium (score = 8)</t>
        </is>
      </c>
      <c r="J13" s="25" t="inlineStr">
        <is>
          <t>Resolved</t>
        </is>
      </c>
      <c r="K13" s="31" t="n">
        <v>46145</v>
      </c>
    </row>
    <row r="14" ht="20" customHeight="1">
      <c r="A14" s="20" t="inlineStr">
        <is>
          <t>VAL-010</t>
        </is>
      </c>
      <c r="B14" s="32" t="n">
        <v>46146</v>
      </c>
      <c r="C14" s="20" t="inlineStr">
        <is>
          <t>Weekly Progress</t>
        </is>
      </c>
      <c r="D14" s="20" t="inlineStr">
        <is>
          <t>Responsible</t>
        </is>
      </c>
      <c r="E14" s="24" t="inlineStr">
        <is>
          <t>Missing Data</t>
        </is>
      </c>
      <c r="F14" s="20" t="inlineStr">
        <is>
          <t>2 activities have no Responsible person assigned</t>
        </is>
      </c>
      <c r="G14" s="20" t="inlineStr">
        <is>
          <t>J. Hansen</t>
        </is>
      </c>
      <c r="H14" s="23" t="inlineStr">
        <is>
          <t>Medium</t>
        </is>
      </c>
      <c r="I14" s="20" t="inlineStr">
        <is>
          <t>XLOOKUP auto-filled; manual review pending</t>
        </is>
      </c>
      <c r="J14" s="23" t="inlineStr">
        <is>
          <t>Open</t>
        </is>
      </c>
      <c r="K14" s="20" t="n"/>
    </row>
    <row r="15" ht="20" customHeight="1">
      <c r="A15" s="15" t="inlineStr">
        <is>
          <t>VAL-011</t>
        </is>
      </c>
      <c r="B15" s="31" t="n">
        <v>46146</v>
      </c>
      <c r="C15" s="15" t="inlineStr">
        <is>
          <t>NCR Tracker</t>
        </is>
      </c>
      <c r="D15" s="15" t="inlineStr">
        <is>
          <t>Date Closed</t>
        </is>
      </c>
      <c r="E15" s="22" t="inlineStr">
        <is>
          <t>Logic Error</t>
        </is>
      </c>
      <c r="F15" s="15" t="inlineStr">
        <is>
          <t>NCR-006 status=Closed but Date Closed cell is empty</t>
        </is>
      </c>
      <c r="G15" s="15" t="inlineStr">
        <is>
          <t>M. Berg</t>
        </is>
      </c>
      <c r="H15" s="24" t="inlineStr">
        <is>
          <t>High</t>
        </is>
      </c>
      <c r="I15" s="15" t="inlineStr">
        <is>
          <t>Correction in progress</t>
        </is>
      </c>
      <c r="J15" s="23" t="inlineStr">
        <is>
          <t>Open</t>
        </is>
      </c>
      <c r="K15" s="15" t="n"/>
    </row>
    <row r="16" ht="20" customHeight="1">
      <c r="A16" s="20" t="inlineStr">
        <is>
          <t>VAL-012</t>
        </is>
      </c>
      <c r="B16" s="32" t="n">
        <v>46146</v>
      </c>
      <c r="C16" s="20" t="inlineStr">
        <is>
          <t>Monthly Report</t>
        </is>
      </c>
      <c r="D16" s="20" t="inlineStr">
        <is>
          <t>Forecast %</t>
        </is>
      </c>
      <c r="E16" s="22" t="inlineStr">
        <is>
          <t>Out of Range</t>
        </is>
      </c>
      <c r="F16" s="20" t="inlineStr">
        <is>
          <t>Forecast 112% for Civil Apr-26 — cannot exceed 100%</t>
        </is>
      </c>
      <c r="G16" s="20" t="inlineStr">
        <is>
          <t>J. Hansen</t>
        </is>
      </c>
      <c r="H16" s="23" t="inlineStr">
        <is>
          <t>Medium</t>
        </is>
      </c>
      <c r="I16" s="20" t="inlineStr">
        <is>
          <t>Capped at 100%; formula review in progress</t>
        </is>
      </c>
      <c r="J16" s="23" t="inlineStr">
        <is>
          <t>Open</t>
        </is>
      </c>
      <c r="K16" s="20" t="n"/>
    </row>
  </sheetData>
  <autoFilter ref="A4:K4"/>
  <mergeCells count="2">
    <mergeCell ref="A1:K1"/>
    <mergeCell ref="A2:K3"/>
  </mergeCells>
  <dataValidations count="2">
    <dataValidation sqref="B5:B16" showDropDown="0" showInputMessage="1" showErrorMessage="1" allowBlank="1" errorTitle="Invalid Date" error="Enter a valid date after 01-Jan-2020 (format: DD-MMM-YY)" promptTitle="Date Found" prompt="Date the data quality issue was identified&#10;  Format: DD-MMM-YY" type="date" operator="greaterThan">
      <formula1>DATE(2020,1,1)</formula1>
    </dataValidation>
    <dataValidation sqref="K5:K16" showDropDown="0" showInputMessage="1" showErrorMessage="1" allowBlank="1" errorTitle="Invalid Date" error="Enter a valid date after 01-Jan-2020 (format: DD-MMM-YY)" promptTitle="Date Resolved" prompt="Date the issue was corrected and verified&#10;  Format: DD-MMM-YY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334155"/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28" customWidth="1" min="4" max="4"/>
    <col width="2" customWidth="1" min="5" max="5"/>
    <col width="18" customWidth="1" min="6" max="6"/>
    <col width="20" customWidth="1" min="7" max="7"/>
    <col width="16" customWidth="1" min="8" max="8"/>
    <col width="28" customWidth="1" min="9" max="9"/>
  </cols>
  <sheetData>
    <row r="1" ht="40" customHeight="1">
      <c r="A1" s="1" t="inlineStr">
        <is>
          <t>LOOKUP TABLES — Reference Data for Formula Calculations</t>
        </is>
      </c>
    </row>
    <row r="2" ht="22" customHeight="1">
      <c r="A2" s="2" t="inlineStr">
        <is>
          <t>Powers VLOOKUP · XLOOKUP · INDEX/MATCH across all sheets. Do not rename or delete this sheet.</t>
        </is>
      </c>
    </row>
    <row r="4" ht="24" customHeight="1">
      <c r="A4" s="3" t="inlineStr">
        <is>
          <t>TABLE 1 · Discipline → Lead Person  (VLOOKUP / XLOOKUP / INDEX-MATCH reference)</t>
        </is>
      </c>
      <c r="F4" s="3" t="inlineStr">
        <is>
          <t>TABLE 2 · Risk Score Reference  (IFS formula band reference)</t>
        </is>
      </c>
    </row>
    <row r="5" ht="26" customHeight="1">
      <c r="A5" s="11" t="inlineStr">
        <is>
          <t>Discipline</t>
        </is>
      </c>
      <c r="B5" s="11" t="inlineStr">
        <is>
          <t>Lead Person</t>
        </is>
      </c>
      <c r="C5" s="11" t="inlineStr">
        <is>
          <t>Dept. Code</t>
        </is>
      </c>
      <c r="D5" s="11" t="inlineStr">
        <is>
          <t>Email</t>
        </is>
      </c>
      <c r="F5" s="11" t="inlineStr">
        <is>
          <t>Min Score</t>
        </is>
      </c>
      <c r="G5" s="11" t="inlineStr">
        <is>
          <t>Max Score</t>
        </is>
      </c>
      <c r="H5" s="11" t="inlineStr">
        <is>
          <t>Level</t>
        </is>
      </c>
      <c r="I5" s="11" t="inlineStr">
        <is>
          <t>SLA Response</t>
        </is>
      </c>
    </row>
    <row r="6" ht="20" customHeight="1">
      <c r="A6" s="15" t="inlineStr">
        <is>
          <t>Civil</t>
        </is>
      </c>
      <c r="B6" s="15" t="inlineStr">
        <is>
          <t>J. Hansen</t>
        </is>
      </c>
      <c r="C6" s="15" t="inlineStr">
        <is>
          <t>CIV</t>
        </is>
      </c>
      <c r="D6" s="15" t="inlineStr">
        <is>
          <t>j.hansen@project.com</t>
        </is>
      </c>
      <c r="F6" s="15" t="n">
        <v>15</v>
      </c>
      <c r="G6" s="15" t="n">
        <v>25</v>
      </c>
      <c r="H6" s="22" t="inlineStr">
        <is>
          <t>High</t>
        </is>
      </c>
      <c r="I6" s="15" t="inlineStr">
        <is>
          <t>Immediate action</t>
        </is>
      </c>
    </row>
    <row r="7" ht="20" customHeight="1">
      <c r="A7" s="20" t="inlineStr">
        <is>
          <t>Structural</t>
        </is>
      </c>
      <c r="B7" s="20" t="inlineStr">
        <is>
          <t>K. Lindqvist</t>
        </is>
      </c>
      <c r="C7" s="20" t="inlineStr">
        <is>
          <t>STR</t>
        </is>
      </c>
      <c r="D7" s="20" t="inlineStr">
        <is>
          <t>k.lindqvist@project.com</t>
        </is>
      </c>
      <c r="F7" s="20" t="n">
        <v>8</v>
      </c>
      <c r="G7" s="20" t="n">
        <v>14</v>
      </c>
      <c r="H7" s="24" t="inlineStr">
        <is>
          <t>Medium</t>
        </is>
      </c>
      <c r="I7" s="20" t="inlineStr">
        <is>
          <t>Action within 14 days</t>
        </is>
      </c>
    </row>
    <row r="8" ht="20" customHeight="1">
      <c r="A8" s="15" t="inlineStr">
        <is>
          <t>Electrical</t>
        </is>
      </c>
      <c r="B8" s="15" t="inlineStr">
        <is>
          <t>M. Berg</t>
        </is>
      </c>
      <c r="C8" s="15" t="inlineStr">
        <is>
          <t>ELE</t>
        </is>
      </c>
      <c r="D8" s="15" t="inlineStr">
        <is>
          <t>m.berg@project.com</t>
        </is>
      </c>
      <c r="F8" s="15" t="n">
        <v>1</v>
      </c>
      <c r="G8" s="15" t="n">
        <v>7</v>
      </c>
      <c r="H8" s="25" t="inlineStr">
        <is>
          <t>Low</t>
        </is>
      </c>
      <c r="I8" s="15" t="inlineStr">
        <is>
          <t>Monitor monthly</t>
        </is>
      </c>
    </row>
    <row r="9" ht="20" customHeight="1">
      <c r="A9" s="20" t="inlineStr">
        <is>
          <t>Mechanical</t>
        </is>
      </c>
      <c r="B9" s="20" t="inlineStr">
        <is>
          <t>A. Nilsen</t>
        </is>
      </c>
      <c r="C9" s="20" t="inlineStr">
        <is>
          <t>MEC</t>
        </is>
      </c>
      <c r="D9" s="20" t="inlineStr">
        <is>
          <t>a.nilsen@project.com</t>
        </is>
      </c>
    </row>
    <row r="10" ht="20" customHeight="1">
      <c r="A10" s="15" t="inlineStr">
        <is>
          <t>Instrumentation</t>
        </is>
      </c>
      <c r="B10" s="15" t="inlineStr">
        <is>
          <t>T. Eriksson</t>
        </is>
      </c>
      <c r="C10" s="15" t="inlineStr">
        <is>
          <t>INS</t>
        </is>
      </c>
      <c r="D10" s="15" t="inlineStr">
        <is>
          <t>t.eriksson@project.com</t>
        </is>
      </c>
    </row>
    <row r="11" ht="20" customHeight="1">
      <c r="A11" s="20" t="inlineStr">
        <is>
          <t>Piping</t>
        </is>
      </c>
      <c r="B11" s="20" t="inlineStr">
        <is>
          <t>S. Patel</t>
        </is>
      </c>
      <c r="C11" s="20" t="inlineStr">
        <is>
          <t>PIP</t>
        </is>
      </c>
      <c r="D11" s="20" t="inlineStr">
        <is>
          <t>s.patel@project.com</t>
        </is>
      </c>
    </row>
    <row r="12" ht="20" customHeight="1">
      <c r="A12" s="15" t="inlineStr">
        <is>
          <t>HVAC</t>
        </is>
      </c>
      <c r="B12" s="15" t="inlineStr">
        <is>
          <t>L. Andersen</t>
        </is>
      </c>
      <c r="C12" s="15" t="inlineStr">
        <is>
          <t>HVA</t>
        </is>
      </c>
      <c r="D12" s="15" t="inlineStr">
        <is>
          <t>l.andersen@project.com</t>
        </is>
      </c>
    </row>
    <row r="13" ht="20" customHeight="1">
      <c r="A13" s="20" t="inlineStr">
        <is>
          <t>Scaffolding</t>
        </is>
      </c>
      <c r="B13" s="20" t="inlineStr">
        <is>
          <t>R. Kowalski</t>
        </is>
      </c>
      <c r="C13" s="20" t="inlineStr">
        <is>
          <t>SCA</t>
        </is>
      </c>
      <c r="D13" s="20" t="inlineStr">
        <is>
          <t>r.kowalski@project.com</t>
        </is>
      </c>
    </row>
    <row r="14" ht="20" customHeight="1">
      <c r="A14" s="15" t="inlineStr">
        <is>
          <t>All</t>
        </is>
      </c>
      <c r="B14" s="15" t="inlineStr">
        <is>
          <t>J. Hansen</t>
        </is>
      </c>
      <c r="C14" s="15" t="inlineStr">
        <is>
          <t>ALL</t>
        </is>
      </c>
      <c r="D14" s="15" t="inlineStr">
        <is>
          <t>j.hansen@project.com</t>
        </is>
      </c>
    </row>
    <row r="16" ht="24" customHeight="1">
      <c r="A16" s="3" t="inlineStr">
        <is>
          <t>TABLE 3 · Status Definitions &amp; Dropdown Values</t>
        </is>
      </c>
      <c r="F16" s="3" t="inlineStr">
        <is>
          <t>TABLE 4 · Formula Index — Where Each Advanced Function Is Used</t>
        </is>
      </c>
    </row>
    <row r="17" ht="26" customHeight="1">
      <c r="A17" s="11" t="inlineStr">
        <is>
          <t>Status</t>
        </is>
      </c>
      <c r="B17" s="11" t="inlineStr">
        <is>
          <t>Applies To</t>
        </is>
      </c>
      <c r="C17" s="11" t="inlineStr">
        <is>
          <t>Final?</t>
        </is>
      </c>
      <c r="D17" s="11" t="inlineStr">
        <is>
          <t>Description</t>
        </is>
      </c>
      <c r="F17" s="11" t="inlineStr">
        <is>
          <t>Sheet</t>
        </is>
      </c>
      <c r="G17" s="11" t="inlineStr">
        <is>
          <t>Column</t>
        </is>
      </c>
      <c r="H17" s="11" t="inlineStr">
        <is>
          <t>Function</t>
        </is>
      </c>
      <c r="I17" s="11" t="inlineStr">
        <is>
          <t>Purpose</t>
        </is>
      </c>
    </row>
    <row r="18" ht="20" customHeight="1">
      <c r="A18" s="23" t="inlineStr">
        <is>
          <t>Open</t>
        </is>
      </c>
      <c r="B18" s="15" t="inlineStr">
        <is>
          <t>Actions / Risks / NCRs</t>
        </is>
      </c>
      <c r="C18" s="15" t="inlineStr">
        <is>
          <t>No</t>
        </is>
      </c>
      <c r="D18" s="15" t="inlineStr">
        <is>
          <t>Raised, no action started</t>
        </is>
      </c>
      <c r="F18" s="15" t="inlineStr">
        <is>
          <t>Weekly Progress</t>
        </is>
      </c>
      <c r="G18" s="15" t="inlineStr">
        <is>
          <t>Variance %</t>
        </is>
      </c>
      <c r="H18" s="15">
        <f>H-G</f>
        <v/>
      </c>
      <c r="I18" s="15" t="inlineStr">
        <is>
          <t>Auto variance</t>
        </is>
      </c>
    </row>
    <row r="19" ht="20" customHeight="1">
      <c r="A19" s="24" t="inlineStr">
        <is>
          <t>In Progress</t>
        </is>
      </c>
      <c r="B19" s="20" t="inlineStr">
        <is>
          <t>Actions / NCRs</t>
        </is>
      </c>
      <c r="C19" s="20" t="inlineStr">
        <is>
          <t>No</t>
        </is>
      </c>
      <c r="D19" s="20" t="inlineStr">
        <is>
          <t>Work underway</t>
        </is>
      </c>
      <c r="F19" s="20" t="inlineStr">
        <is>
          <t>Weekly Progress</t>
        </is>
      </c>
      <c r="G19" s="20" t="inlineStr">
        <is>
          <t>Status</t>
        </is>
      </c>
      <c r="H19" s="20" t="inlineStr">
        <is>
          <t>IF nested</t>
        </is>
      </c>
      <c r="I19" s="20" t="inlineStr">
        <is>
          <t>Auto status logic</t>
        </is>
      </c>
    </row>
    <row r="20" ht="20" customHeight="1">
      <c r="A20" s="25" t="inlineStr">
        <is>
          <t>Closed</t>
        </is>
      </c>
      <c r="B20" s="15" t="inlineStr">
        <is>
          <t>All</t>
        </is>
      </c>
      <c r="C20" s="15" t="inlineStr">
        <is>
          <t>Yes</t>
        </is>
      </c>
      <c r="D20" s="15" t="inlineStr">
        <is>
          <t>Fully resolved and verified</t>
        </is>
      </c>
      <c r="F20" s="15" t="inlineStr">
        <is>
          <t>Weekly Progress</t>
        </is>
      </c>
      <c r="G20" s="15" t="inlineStr">
        <is>
          <t>Responsible</t>
        </is>
      </c>
      <c r="H20" s="15" t="inlineStr">
        <is>
          <t>XLOOKUP</t>
        </is>
      </c>
      <c r="I20" s="15" t="inlineStr">
        <is>
          <t>From Lookup Tables</t>
        </is>
      </c>
    </row>
    <row r="21" ht="20" customHeight="1">
      <c r="A21" s="22" t="inlineStr">
        <is>
          <t>Overdue</t>
        </is>
      </c>
      <c r="B21" s="20" t="inlineStr">
        <is>
          <t>Actions</t>
        </is>
      </c>
      <c r="C21" s="20" t="inlineStr">
        <is>
          <t>No</t>
        </is>
      </c>
      <c r="D21" s="20" t="inlineStr">
        <is>
          <t>Past due date — escalate</t>
        </is>
      </c>
      <c r="F21" s="20" t="inlineStr">
        <is>
          <t>Risk Register</t>
        </is>
      </c>
      <c r="G21" s="20" t="inlineStr">
        <is>
          <t>Risk Score</t>
        </is>
      </c>
      <c r="H21" s="20">
        <f>E×F</f>
        <v/>
      </c>
      <c r="I21" s="20" t="inlineStr">
        <is>
          <t>Auto P×I</t>
        </is>
      </c>
    </row>
    <row r="22" ht="20" customHeight="1">
      <c r="A22" s="22" t="inlineStr">
        <is>
          <t>Escalated</t>
        </is>
      </c>
      <c r="B22" s="15" t="inlineStr">
        <is>
          <t>Risks</t>
        </is>
      </c>
      <c r="C22" s="15" t="inlineStr">
        <is>
          <t>No</t>
        </is>
      </c>
      <c r="D22" s="15" t="inlineStr">
        <is>
          <t>Elevated to senior management</t>
        </is>
      </c>
      <c r="F22" s="15" t="inlineStr">
        <is>
          <t>Risk Register</t>
        </is>
      </c>
      <c r="G22" s="15" t="inlineStr">
        <is>
          <t>Risk Level</t>
        </is>
      </c>
      <c r="H22" s="15" t="inlineStr">
        <is>
          <t>IF nested</t>
        </is>
      </c>
      <c r="I22" s="15" t="inlineStr">
        <is>
          <t>From score</t>
        </is>
      </c>
    </row>
    <row r="23" ht="20" customHeight="1">
      <c r="A23" s="23" t="inlineStr">
        <is>
          <t>Mitigated</t>
        </is>
      </c>
      <c r="B23" s="20" t="inlineStr">
        <is>
          <t>Risks</t>
        </is>
      </c>
      <c r="C23" s="20" t="inlineStr">
        <is>
          <t>No</t>
        </is>
      </c>
      <c r="D23" s="20" t="inlineStr">
        <is>
          <t>Mitigation complete; monitoring</t>
        </is>
      </c>
      <c r="F23" s="20" t="inlineStr">
        <is>
          <t>Action Item Log</t>
        </is>
      </c>
      <c r="G23" s="20" t="inlineStr">
        <is>
          <t>Responsible</t>
        </is>
      </c>
      <c r="H23" s="20" t="inlineStr">
        <is>
          <t>VLOOKUP</t>
        </is>
      </c>
      <c r="I23" s="20" t="inlineStr">
        <is>
          <t>From Lookup Tables</t>
        </is>
      </c>
    </row>
    <row r="24" ht="20" customHeight="1">
      <c r="A24" s="35" t="inlineStr">
        <is>
          <t>On Hold</t>
        </is>
      </c>
      <c r="B24" s="15" t="inlineStr">
        <is>
          <t>Actions</t>
        </is>
      </c>
      <c r="C24" s="15" t="inlineStr">
        <is>
          <t>No</t>
        </is>
      </c>
      <c r="D24" s="15" t="inlineStr">
        <is>
          <t>Blocked — awaiting input</t>
        </is>
      </c>
      <c r="F24" s="15" t="inlineStr">
        <is>
          <t>Action Item Log</t>
        </is>
      </c>
      <c r="G24" s="15" t="inlineStr">
        <is>
          <t>Days Overdue</t>
        </is>
      </c>
      <c r="H24" s="15" t="inlineStr">
        <is>
          <t>IF/TODAY()</t>
        </is>
      </c>
      <c r="I24" s="15" t="inlineStr">
        <is>
          <t>Live days past due</t>
        </is>
      </c>
    </row>
    <row r="25" ht="20" customHeight="1">
      <c r="F25" s="20" t="inlineStr">
        <is>
          <t>NCR Tracker</t>
        </is>
      </c>
      <c r="G25" s="20" t="inlineStr">
        <is>
          <t>Days Open</t>
        </is>
      </c>
      <c r="H25" s="20" t="inlineStr">
        <is>
          <t>IF/TODAY()</t>
        </is>
      </c>
      <c r="I25" s="20" t="inlineStr">
        <is>
          <t>Live days since raised</t>
        </is>
      </c>
    </row>
    <row r="26" ht="20" customHeight="1">
      <c r="F26" s="15" t="inlineStr">
        <is>
          <t>NCR Tracker</t>
        </is>
      </c>
      <c r="G26" s="15" t="inlineStr">
        <is>
          <t>Discipline Lead</t>
        </is>
      </c>
      <c r="H26" s="15" t="inlineStr">
        <is>
          <t>INDEX/MATCH</t>
        </is>
      </c>
      <c r="I26" s="15" t="inlineStr">
        <is>
          <t>From Lookup Tables</t>
        </is>
      </c>
    </row>
    <row r="27" ht="20" customHeight="1">
      <c r="F27" s="20" t="inlineStr">
        <is>
          <t>Monthly Report</t>
        </is>
      </c>
      <c r="G27" s="20" t="inlineStr">
        <is>
          <t>Schedule Var %</t>
        </is>
      </c>
      <c r="H27" s="20" t="inlineStr">
        <is>
          <t>IFERROR/()</t>
        </is>
      </c>
      <c r="I27" s="20" t="inlineStr">
        <is>
          <t>Auto SV%</t>
        </is>
      </c>
    </row>
    <row r="28" ht="20" customHeight="1">
      <c r="F28" s="15" t="inlineStr">
        <is>
          <t>Monthly Report</t>
        </is>
      </c>
      <c r="G28" s="15" t="inlineStr">
        <is>
          <t>Cost Var %</t>
        </is>
      </c>
      <c r="H28" s="15" t="inlineStr">
        <is>
          <t>IFERROR/()</t>
        </is>
      </c>
      <c r="I28" s="15" t="inlineStr">
        <is>
          <t>Auto CV%</t>
        </is>
      </c>
    </row>
    <row r="29" ht="20" customHeight="1">
      <c r="F29" s="20" t="inlineStr">
        <is>
          <t>Monthly Report</t>
        </is>
      </c>
      <c r="G29" s="20" t="inlineStr">
        <is>
          <t>Discipline Lead</t>
        </is>
      </c>
      <c r="H29" s="20" t="inlineStr">
        <is>
          <t>INDEX/MATCH</t>
        </is>
      </c>
      <c r="I29" s="20" t="inlineStr">
        <is>
          <t>From Lookup Tables</t>
        </is>
      </c>
    </row>
    <row r="30" ht="20" customHeight="1">
      <c r="F30" s="15" t="inlineStr">
        <is>
          <t>DASHBOARD</t>
        </is>
      </c>
      <c r="G30" s="15" t="inlineStr">
        <is>
          <t>All KPIs</t>
        </is>
      </c>
      <c r="H30" s="15" t="inlineStr">
        <is>
          <t>COUNTIF</t>
        </is>
      </c>
      <c r="I30" s="15" t="inlineStr">
        <is>
          <t>Live from data sheets</t>
        </is>
      </c>
    </row>
    <row r="31" ht="20" customHeight="1">
      <c r="F31" s="20" t="inlineStr">
        <is>
          <t>DASHBOARD</t>
        </is>
      </c>
      <c r="G31" s="20" t="inlineStr">
        <is>
          <t>Discipline table</t>
        </is>
      </c>
      <c r="H31" s="20" t="inlineStr">
        <is>
          <t>AVERAGEIF</t>
        </is>
      </c>
      <c r="I31" s="20" t="inlineStr">
        <is>
          <t>Live pull per discipline</t>
        </is>
      </c>
    </row>
    <row r="32" ht="20" customHeight="1">
      <c r="F32" s="15" t="inlineStr">
        <is>
          <t>DASHBOARD</t>
        </is>
      </c>
      <c r="G32" s="15" t="inlineStr">
        <is>
          <t>Monthly summary</t>
        </is>
      </c>
      <c r="H32" s="15" t="inlineStr">
        <is>
          <t>SUMIFS</t>
        </is>
      </c>
      <c r="I32" s="15" t="inlineStr">
        <is>
          <t>Multi-criteria totals</t>
        </is>
      </c>
    </row>
  </sheetData>
  <mergeCells count="6">
    <mergeCell ref="A2:I2"/>
    <mergeCell ref="A4:D4"/>
    <mergeCell ref="F4:I4"/>
    <mergeCell ref="A1:I1"/>
    <mergeCell ref="F16:I16"/>
    <mergeCell ref="A16:D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34155"/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55" customWidth="1" min="3" max="3"/>
    <col width="44" customWidth="1" min="4" max="4"/>
    <col width="14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</cols>
  <sheetData>
    <row r="1" ht="40" customHeight="1">
      <c r="A1" s="1" t="inlineStr">
        <is>
          <t>WORKBOOK GUIDE — Construction Project Data Management System</t>
        </is>
      </c>
    </row>
    <row r="2" ht="20" customHeight="1">
      <c r="A2" s="2" t="inlineStr">
        <is>
          <t>Sheet directory, formula reference, color legend, ID conventions, and usage workflow.</t>
        </is>
      </c>
    </row>
    <row r="4" ht="24" customHeight="1">
      <c r="A4" s="3" t="inlineStr">
        <is>
          <t>SHEET DIRECTORY</t>
        </is>
      </c>
    </row>
    <row r="5" ht="26" customHeight="1">
      <c r="A5" s="11" t="inlineStr">
        <is>
          <t>Sheet</t>
        </is>
      </c>
      <c r="B5" s="11" t="inlineStr">
        <is>
          <t>Purpose</t>
        </is>
      </c>
      <c r="C5" s="11" t="inlineStr">
        <is>
          <t>Entry Columns</t>
        </is>
      </c>
      <c r="D5" s="11" t="inlineStr">
        <is>
          <t>Key Formulas</t>
        </is>
      </c>
      <c r="E5" s="11" t="inlineStr">
        <is>
          <t>Update Frequency</t>
        </is>
      </c>
    </row>
    <row r="6" ht="20" customHeight="1">
      <c r="A6" s="15" t="inlineStr">
        <is>
          <t>Lookup Tables</t>
        </is>
      </c>
      <c r="B6" s="15" t="inlineStr">
        <is>
          <t>Reference tables — powers all lookup formulas</t>
        </is>
      </c>
      <c r="C6" s="15" t="inlineStr">
        <is>
          <t>Update when personnel changes</t>
        </is>
      </c>
      <c r="D6" s="15" t="inlineStr">
        <is>
          <t>N/A</t>
        </is>
      </c>
      <c r="E6" s="15" t="inlineStr">
        <is>
          <t>When team changes</t>
        </is>
      </c>
    </row>
    <row r="7" ht="20" customHeight="1">
      <c r="A7" s="20" t="inlineStr">
        <is>
          <t>DASHBOARD</t>
        </is>
      </c>
      <c r="B7" s="20" t="inlineStr">
        <is>
          <t>Live project health — KPIs, progress, risk, actions, EV</t>
        </is>
      </c>
      <c r="C7" s="20" t="inlineStr">
        <is>
          <t>Read-only (formula-driven)</t>
        </is>
      </c>
      <c r="D7" s="20" t="inlineStr">
        <is>
          <t>COUNTIF/S, AVERAGEIF, SUMIFS</t>
        </is>
      </c>
      <c r="E7" s="20" t="inlineStr">
        <is>
          <t>Auto on file open</t>
        </is>
      </c>
    </row>
    <row r="8" ht="20" customHeight="1">
      <c r="A8" s="15" t="inlineStr">
        <is>
          <t>Weekly Progress</t>
        </is>
      </c>
      <c r="B8" s="15" t="inlineStr">
        <is>
          <t>Planned vs. actual % per activity per week</t>
        </is>
      </c>
      <c r="C8" s="15" t="inlineStr">
        <is>
          <t>G (Planned%) and H (Actual%)</t>
        </is>
      </c>
      <c r="D8" s="15" t="inlineStr">
        <is>
          <t>IF, XLOOKUP</t>
        </is>
      </c>
      <c r="E8" s="15" t="inlineStr">
        <is>
          <t>Weekly — by Friday</t>
        </is>
      </c>
    </row>
    <row r="9" ht="20" customHeight="1">
      <c r="A9" s="20" t="inlineStr">
        <is>
          <t>Risk Register</t>
        </is>
      </c>
      <c r="B9" s="20" t="inlineStr">
        <is>
          <t>Risk log with P×I matrix and auto level</t>
        </is>
      </c>
      <c r="C9" s="20" t="inlineStr">
        <is>
          <t>All except G, H</t>
        </is>
      </c>
      <c r="D9" s="20" t="inlineStr">
        <is>
          <t>E×F, nested IF</t>
        </is>
      </c>
      <c r="E9" s="20" t="inlineStr">
        <is>
          <t>Weekly minimum</t>
        </is>
      </c>
    </row>
    <row r="10" ht="20" customHeight="1">
      <c r="A10" s="15" t="inlineStr">
        <is>
          <t>Action Item Log</t>
        </is>
      </c>
      <c r="B10" s="15" t="inlineStr">
        <is>
          <t>All meeting action items with status tracking</t>
        </is>
      </c>
      <c r="C10" s="15" t="inlineStr">
        <is>
          <t>All except F, N</t>
        </is>
      </c>
      <c r="D10" s="15" t="inlineStr">
        <is>
          <t>VLOOKUP, IF/TODAY()</t>
        </is>
      </c>
      <c r="E10" s="15" t="inlineStr">
        <is>
          <t>After each meeting</t>
        </is>
      </c>
    </row>
    <row r="11" ht="20" customHeight="1">
      <c r="A11" s="20" t="inlineStr">
        <is>
          <t>NCR Quality Tracker</t>
        </is>
      </c>
      <c r="B11" s="20" t="inlineStr">
        <is>
          <t>Non-conformance full lifecycle</t>
        </is>
      </c>
      <c r="C11" s="20" t="inlineStr">
        <is>
          <t>All except M, N</t>
        </is>
      </c>
      <c r="D11" s="20" t="inlineStr">
        <is>
          <t>TODAY()−date, INDEX/MATCH</t>
        </is>
      </c>
      <c r="E11" s="20" t="inlineStr">
        <is>
          <t>As NCRs arise</t>
        </is>
      </c>
    </row>
    <row r="12" ht="20" customHeight="1">
      <c r="A12" s="15" t="inlineStr">
        <is>
          <t>Monthly Report</t>
        </is>
      </c>
      <c r="B12" s="15" t="inlineStr">
        <is>
          <t>Budget vs. actual + Earned Value analysis</t>
        </is>
      </c>
      <c r="C12" s="15" t="inlineStr">
        <is>
          <t>A–H, K–M</t>
        </is>
      </c>
      <c r="D12" s="15" t="inlineStr">
        <is>
          <t>SV/CV formulas, INDEX/MATCH, SUMIFS</t>
        </is>
      </c>
      <c r="E12" s="15" t="inlineStr">
        <is>
          <t>2nd working day</t>
        </is>
      </c>
    </row>
    <row r="13" ht="20" customHeight="1">
      <c r="A13" s="20" t="inlineStr">
        <is>
          <t>Data Validation Log</t>
        </is>
      </c>
      <c r="B13" s="20" t="inlineStr">
        <is>
          <t>Data quality issues audit trail</t>
        </is>
      </c>
      <c r="C13" s="20" t="inlineStr">
        <is>
          <t>All columns</t>
        </is>
      </c>
      <c r="D13" s="20" t="inlineStr">
        <is>
          <t>Manual log</t>
        </is>
      </c>
      <c r="E13" s="20" t="inlineStr">
        <is>
          <t>During validation sweep</t>
        </is>
      </c>
    </row>
    <row r="16" ht="24" customHeight="1">
      <c r="A16" s="3" t="inlineStr">
        <is>
          <t>FORMULA REFERENCE</t>
        </is>
      </c>
    </row>
    <row r="17" ht="26" customHeight="1">
      <c r="A17" s="11" t="inlineStr">
        <is>
          <t>Function</t>
        </is>
      </c>
      <c r="B17" s="11" t="inlineStr">
        <is>
          <t>Sheet — Column</t>
        </is>
      </c>
      <c r="C17" s="11" t="inlineStr">
        <is>
          <t>Example</t>
        </is>
      </c>
      <c r="D17" s="11" t="inlineStr">
        <is>
          <t>Purpose</t>
        </is>
      </c>
      <c r="E17" s="11" t="inlineStr">
        <is>
          <t>Version</t>
        </is>
      </c>
    </row>
    <row r="18" ht="20" customHeight="1">
      <c r="A18" s="15" t="inlineStr">
        <is>
          <t>COUNTIF</t>
        </is>
      </c>
      <c r="B18" s="15" t="inlineStr">
        <is>
          <t>Dashboard — KPI tiles</t>
        </is>
      </c>
      <c r="C18" s="15">
        <f>COUNTIF($I:$I,"Open")</f>
        <v/>
      </c>
      <c r="D18" s="15" t="inlineStr">
        <is>
          <t>Count matching single criterion</t>
        </is>
      </c>
      <c r="E18" s="15" t="inlineStr">
        <is>
          <t>All</t>
        </is>
      </c>
    </row>
    <row r="19" ht="20" customHeight="1">
      <c r="A19" s="20" t="inlineStr">
        <is>
          <t>COUNTIFS</t>
        </is>
      </c>
      <c r="B19" s="20" t="inlineStr">
        <is>
          <t>Dashboard — discipline table</t>
        </is>
      </c>
      <c r="C19" s="20">
        <f>COUNTIFS($E:$E,"Civil",$I:$I,"Open")</f>
        <v/>
      </c>
      <c r="D19" s="20" t="inlineStr">
        <is>
          <t>Count matching multiple criteria</t>
        </is>
      </c>
      <c r="E19" s="20" t="inlineStr">
        <is>
          <t>2007+</t>
        </is>
      </c>
    </row>
    <row r="20" ht="20" customHeight="1">
      <c r="A20" s="15" t="inlineStr">
        <is>
          <t>AVERAGEIF</t>
        </is>
      </c>
      <c r="B20" s="15" t="inlineStr">
        <is>
          <t>Dashboard — discipline %</t>
        </is>
      </c>
      <c r="C20" s="15">
        <f>AVERAGEIF($B:$B,"Civil",$H:$H)</f>
        <v/>
      </c>
      <c r="D20" s="15" t="inlineStr">
        <is>
          <t>Average matching one criterion</t>
        </is>
      </c>
      <c r="E20" s="15" t="inlineStr">
        <is>
          <t>2007+</t>
        </is>
      </c>
    </row>
    <row r="21" ht="20" customHeight="1">
      <c r="A21" s="20" t="inlineStr">
        <is>
          <t>SUMIFS</t>
        </is>
      </c>
      <c r="B21" s="20" t="inlineStr">
        <is>
          <t>Dashboard — monthly summary</t>
        </is>
      </c>
      <c r="C21" s="20">
        <f>SUMIFS($C:$C,$A:$A,"Apr-26")</f>
        <v/>
      </c>
      <c r="D21" s="20" t="inlineStr">
        <is>
          <t>Sum matching multiple criteria</t>
        </is>
      </c>
      <c r="E21" s="20" t="inlineStr">
        <is>
          <t>2007+</t>
        </is>
      </c>
    </row>
    <row r="22" ht="20" customHeight="1">
      <c r="A22" s="15" t="inlineStr">
        <is>
          <t>VLOOKUP</t>
        </is>
      </c>
      <c r="B22" s="15" t="inlineStr">
        <is>
          <t>Action Log — Responsible col</t>
        </is>
      </c>
      <c r="C22" s="15">
        <f>IFERROR(VLOOKUP(E3,$A$6:$B$14,2,0),"-")</f>
        <v/>
      </c>
      <c r="D22" s="15" t="inlineStr">
        <is>
          <t>Lookup value in first column of table</t>
        </is>
      </c>
      <c r="E22" s="15" t="inlineStr">
        <is>
          <t>All</t>
        </is>
      </c>
    </row>
    <row r="23" ht="20" customHeight="1">
      <c r="A23" s="20" t="inlineStr">
        <is>
          <t>XLOOKUP</t>
        </is>
      </c>
      <c r="B23" s="20" t="inlineStr">
        <is>
          <t>Weekly Progress — Responsible</t>
        </is>
      </c>
      <c r="C23" s="20">
        <f>IFERROR(XLOOKUP(B3,$A$6:$A$14,$B$6:$B$14),"?")</f>
        <v/>
      </c>
      <c r="D23" s="20" t="inlineStr">
        <is>
          <t>Flexible; searches any direction</t>
        </is>
      </c>
      <c r="E23" s="20" t="inlineStr">
        <is>
          <t>Excel 365</t>
        </is>
      </c>
    </row>
    <row r="24" ht="20" customHeight="1">
      <c r="A24" s="15" t="inlineStr">
        <is>
          <t>INDEX/MATCH</t>
        </is>
      </c>
      <c r="B24" s="15" t="inlineStr">
        <is>
          <t>NCR &amp; Monthly — Disc. Lead</t>
        </is>
      </c>
      <c r="C24" s="15">
        <f>INDEX($B$6:$B$14,MATCH(B3,$A$6:$A$14,0))</f>
        <v/>
      </c>
      <c r="D24" s="15" t="inlineStr">
        <is>
          <t>Flexible alternative to VLOOKUP</t>
        </is>
      </c>
      <c r="E24" s="15" t="inlineStr">
        <is>
          <t>All</t>
        </is>
      </c>
    </row>
    <row r="25" ht="20" customHeight="1">
      <c r="A25" s="20" t="inlineStr">
        <is>
          <t>IF nested</t>
        </is>
      </c>
      <c r="B25" s="20" t="inlineStr">
        <is>
          <t>Weekly Progress — Status col</t>
        </is>
      </c>
      <c r="C25" s="20">
        <f>IF(H3&gt;=1,"Completed",IF(...))</f>
        <v/>
      </c>
      <c r="D25" s="20" t="inlineStr">
        <is>
          <t>Multi-branch conditional logic</t>
        </is>
      </c>
      <c r="E25" s="20" t="inlineStr">
        <is>
          <t>All</t>
        </is>
      </c>
    </row>
    <row r="26" ht="20" customHeight="1">
      <c r="A26" s="15" t="inlineStr">
        <is>
          <t>IFERROR</t>
        </is>
      </c>
      <c r="B26" s="15" t="inlineStr">
        <is>
          <t>All formula columns</t>
        </is>
      </c>
      <c r="C26" s="15">
        <f>IFERROR(formula,0)</f>
        <v/>
      </c>
      <c r="D26" s="15" t="inlineStr">
        <is>
          <t>Return fallback if formula errors</t>
        </is>
      </c>
      <c r="E26" s="15" t="inlineStr">
        <is>
          <t>2007+</t>
        </is>
      </c>
    </row>
    <row r="27" ht="20" customHeight="1">
      <c r="A27" s="20" t="inlineStr">
        <is>
          <t>TODAY()</t>
        </is>
      </c>
      <c r="B27" s="20" t="inlineStr">
        <is>
          <t>Action Log — Days Overdue</t>
        </is>
      </c>
      <c r="C27" s="20">
        <f>IF(AND(I3&lt;&gt;"Closed",TODAY()&gt;G3),TODAY()-G3,"")</f>
        <v/>
      </c>
      <c r="D27" s="20" t="inlineStr">
        <is>
          <t>Current date; updates on open</t>
        </is>
      </c>
      <c r="E27" s="20" t="inlineStr">
        <is>
          <t>All</t>
        </is>
      </c>
    </row>
    <row r="30" ht="24" customHeight="1">
      <c r="A30" s="3" t="inlineStr">
        <is>
          <t>COLOR &amp; BADGE LEGEND</t>
        </is>
      </c>
    </row>
    <row r="31" ht="20" customHeight="1">
      <c r="A31" s="45" t="n"/>
      <c r="B31" s="46" t="inlineStr">
        <is>
          <t>Green badge</t>
        </is>
      </c>
      <c r="C31" s="47" t="inlineStr">
        <is>
          <t>Completed · Closed · Resolved · Ahead · Low risk</t>
        </is>
      </c>
    </row>
    <row r="32" ht="20" customHeight="1">
      <c r="A32" s="48" t="n"/>
      <c r="B32" s="49" t="inlineStr">
        <is>
          <t>Blue badge</t>
        </is>
      </c>
      <c r="C32" s="47" t="inlineStr">
        <is>
          <t>Open · On Track · Mitigated · Material</t>
        </is>
      </c>
    </row>
    <row r="33" ht="20" customHeight="1">
      <c r="A33" s="50" t="n"/>
      <c r="B33" s="51" t="inlineStr">
        <is>
          <t>Amber badge</t>
        </is>
      </c>
      <c r="C33" s="47" t="inlineStr">
        <is>
          <t>In Progress · Medium · Workmanship · Warning</t>
        </is>
      </c>
    </row>
    <row r="34" ht="20" customHeight="1">
      <c r="A34" s="52" t="n"/>
      <c r="B34" s="53" t="inlineStr">
        <is>
          <t>Red badge</t>
        </is>
      </c>
      <c r="C34" s="47" t="inlineStr">
        <is>
          <t>Overdue · High · Behind · Critical · Escalated</t>
        </is>
      </c>
    </row>
    <row r="35" ht="20" customHeight="1">
      <c r="A35" s="54" t="n"/>
      <c r="B35" s="55" t="inlineStr">
        <is>
          <t>Gray badge</t>
        </is>
      </c>
      <c r="C35" s="47" t="inlineStr">
        <is>
          <t>Not Started · On Hold · Neutral / N/A</t>
        </is>
      </c>
    </row>
    <row r="36" ht="20" customHeight="1">
      <c r="A36" s="56" t="n"/>
      <c r="B36" s="57" t="inlineStr">
        <is>
          <t>Teal badge</t>
        </is>
      </c>
      <c r="C36" s="47" t="inlineStr">
        <is>
          <t>Installation type NCRs</t>
        </is>
      </c>
    </row>
    <row r="37" ht="20" customHeight="1">
      <c r="A37" s="58" t="n"/>
      <c r="B37" s="59" t="inlineStr">
        <is>
          <t>Surface row</t>
        </is>
      </c>
      <c r="C37" s="47" t="inlineStr">
        <is>
          <t>Alternating data row background (barely visible)</t>
        </is>
      </c>
    </row>
    <row r="38" ht="20" customHeight="1">
      <c r="A38" s="60" t="n"/>
      <c r="B38" s="61" t="inlineStr">
        <is>
          <t>Dark header</t>
        </is>
      </c>
      <c r="C38" s="47" t="inlineStr">
        <is>
          <t>Column headers and section headers — uniform charcoal</t>
        </is>
      </c>
    </row>
    <row r="39" ht="20" customHeight="1">
      <c r="A39" s="62" t="n"/>
      <c r="B39" s="61" t="inlineStr">
        <is>
          <t>Ink title</t>
        </is>
      </c>
      <c r="C39" s="47" t="inlineStr">
        <is>
          <t>Sheet titles — near-black</t>
        </is>
      </c>
    </row>
  </sheetData>
  <mergeCells count="5">
    <mergeCell ref="A1:J1"/>
    <mergeCell ref="A2:J2"/>
    <mergeCell ref="A30:J30"/>
    <mergeCell ref="A4:J4"/>
    <mergeCell ref="A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2026-05-04T14:39:28Z</dcterms:created>
  <dcterms:modified xmlns:dcterms="http://purl.org/dc/terms/" xmlns:xsi="http://www.w3.org/2001/XMLSchema-instance" xsi:type="dcterms:W3CDTF">2026-05-04T14:39:29Z</dcterms:modified>
</cp:coreProperties>
</file>